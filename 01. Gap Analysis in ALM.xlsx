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trichyravis/Library/Mobile Documents/com~apple~CloudDocs/01. Ravis Academics/07. My Lectures Subject Wise/300. Articles in LinkedIN/91. FRTB/92. About ALM/"/>
    </mc:Choice>
  </mc:AlternateContent>
  <xr:revisionPtr revIDLastSave="0" documentId="13_ncr:1_{4906D07F-7A08-8F4B-BB23-98DDEDE9A99F}" xr6:coauthVersionLast="47" xr6:coauthVersionMax="47" xr10:uidLastSave="{00000000-0000-0000-0000-000000000000}"/>
  <bookViews>
    <workbookView xWindow="33600" yWindow="-1580" windowWidth="38400" windowHeight="21600" firstSheet="2" activeTab="8" xr2:uid="{1D5B3DB5-A249-A543-8D18-61B34F00F7D6}"/>
  </bookViews>
  <sheets>
    <sheet name="Dashboard" sheetId="1" r:id="rId1"/>
    <sheet name="Assumptions" sheetId="2" r:id="rId2"/>
    <sheet name="Liquidity Gap" sheetId="3" r:id="rId3"/>
    <sheet name="Rate Sensitivity Gap" sheetId="4" r:id="rId4"/>
    <sheet name="ALM Notes &amp; Guide" sheetId="5" r:id="rId5"/>
    <sheet name="Illust - Structural Liquidity" sheetId="6" r:id="rId6"/>
    <sheet name="Illust - Periodic &amp; Cumul Gap" sheetId="7" r:id="rId7"/>
    <sheet name="Illust - Liquidity Ratios" sheetId="8" r:id="rId8"/>
    <sheet name="Illust - RSA vs RSL" sheetId="9" r:id="rId9"/>
    <sheet name="Illust - Fixed vs Floating" sheetId="10" r:id="rId10"/>
    <sheet name="Illust - NII &amp; NIM" sheetId="11" r:id="rId1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1" l="1"/>
  <c r="D27" i="11"/>
  <c r="D26" i="11"/>
  <c r="D22" i="11"/>
  <c r="C22" i="11"/>
  <c r="B22" i="11"/>
  <c r="D20" i="11"/>
  <c r="D19" i="11"/>
  <c r="D18" i="11"/>
  <c r="D15" i="11"/>
  <c r="C15" i="11"/>
  <c r="B15" i="11"/>
  <c r="D13" i="11"/>
  <c r="D12" i="11"/>
  <c r="D11" i="11"/>
  <c r="D10" i="11"/>
  <c r="D26" i="10"/>
  <c r="C26" i="10"/>
  <c r="B26" i="10"/>
  <c r="D25" i="10"/>
  <c r="C25" i="10"/>
  <c r="B25" i="10"/>
  <c r="D24" i="10"/>
  <c r="C24" i="10"/>
  <c r="B24" i="10"/>
  <c r="C39" i="9"/>
  <c r="D37" i="9"/>
  <c r="C37" i="9"/>
  <c r="B37" i="9"/>
  <c r="D36" i="9"/>
  <c r="C36" i="9"/>
  <c r="B36" i="9"/>
  <c r="D35" i="9"/>
  <c r="C35" i="9"/>
  <c r="B35" i="9"/>
  <c r="B31" i="9"/>
  <c r="B30" i="9"/>
  <c r="B29" i="9"/>
  <c r="D26" i="9"/>
  <c r="B26" i="9"/>
  <c r="D25" i="9"/>
  <c r="D24" i="9"/>
  <c r="D21" i="9"/>
  <c r="B21" i="9"/>
  <c r="D20" i="9"/>
  <c r="D19" i="9"/>
  <c r="D18" i="9"/>
  <c r="D40" i="8"/>
  <c r="D39" i="8"/>
  <c r="E34" i="8"/>
  <c r="D34" i="8"/>
  <c r="C34" i="8"/>
  <c r="B34" i="8"/>
  <c r="E24" i="8"/>
  <c r="D24" i="8"/>
  <c r="C24" i="8"/>
  <c r="B24" i="8"/>
  <c r="E14" i="8"/>
  <c r="D14" i="8"/>
  <c r="C14" i="8"/>
  <c r="B14" i="8"/>
  <c r="C26" i="7"/>
  <c r="B26" i="7"/>
  <c r="C25" i="7"/>
  <c r="B25" i="7"/>
  <c r="C24" i="7"/>
  <c r="B24" i="7"/>
  <c r="C23" i="7"/>
  <c r="B23" i="7"/>
  <c r="E19" i="7"/>
  <c r="D19" i="7"/>
  <c r="C19" i="7"/>
  <c r="B19" i="7"/>
  <c r="E17" i="7"/>
  <c r="D17" i="7"/>
  <c r="C17" i="7"/>
  <c r="B17" i="7"/>
  <c r="E13" i="7"/>
  <c r="D13" i="7"/>
  <c r="C13" i="7"/>
  <c r="B13" i="7"/>
  <c r="E29" i="6"/>
  <c r="D29" i="6"/>
  <c r="C29" i="6"/>
  <c r="B29" i="6"/>
  <c r="E28" i="6"/>
  <c r="D28" i="6"/>
  <c r="C28" i="6"/>
  <c r="B28" i="6"/>
  <c r="E27" i="6"/>
  <c r="D27" i="6"/>
  <c r="C27" i="6"/>
  <c r="B27" i="6"/>
  <c r="F23" i="6"/>
  <c r="E23" i="6"/>
  <c r="D23" i="6"/>
  <c r="C23" i="6"/>
  <c r="B23" i="6"/>
  <c r="F22" i="6"/>
  <c r="F21" i="6"/>
  <c r="F20" i="6"/>
  <c r="F19" i="6"/>
  <c r="F15" i="6"/>
  <c r="E15" i="6"/>
  <c r="D15" i="6"/>
  <c r="C15" i="6"/>
  <c r="B15" i="6"/>
  <c r="F14" i="6"/>
  <c r="F13" i="6"/>
  <c r="F12" i="6"/>
  <c r="F11" i="6"/>
  <c r="B26" i="1"/>
  <c r="B24" i="1"/>
  <c r="F2" i="1"/>
  <c r="D69" i="1"/>
  <c r="C69" i="1"/>
  <c r="B69" i="1"/>
  <c r="D68" i="1"/>
  <c r="C68" i="1"/>
  <c r="B68" i="1"/>
  <c r="D66" i="1"/>
  <c r="C66" i="1"/>
  <c r="B66" i="1"/>
  <c r="D65" i="1"/>
  <c r="C65" i="1"/>
  <c r="B65" i="1"/>
  <c r="I26" i="1"/>
  <c r="H26" i="1"/>
  <c r="G26" i="1"/>
  <c r="F26" i="1"/>
  <c r="E26" i="1"/>
  <c r="D26" i="1"/>
  <c r="C26" i="1"/>
  <c r="I25" i="1"/>
  <c r="H25" i="1"/>
  <c r="G25" i="1"/>
  <c r="F25" i="1"/>
  <c r="E25" i="1"/>
  <c r="D25" i="1"/>
  <c r="C25" i="1"/>
  <c r="B25" i="1"/>
  <c r="I24" i="1"/>
  <c r="H24" i="1"/>
  <c r="G24" i="1"/>
  <c r="F24" i="1"/>
  <c r="E24" i="1"/>
  <c r="D24" i="1"/>
  <c r="C24" i="1"/>
  <c r="I20" i="1"/>
  <c r="H20" i="1"/>
  <c r="G20" i="1"/>
  <c r="F20" i="1"/>
  <c r="E20" i="1"/>
  <c r="D20" i="1"/>
  <c r="C20" i="1"/>
  <c r="B20" i="1"/>
  <c r="I19" i="1"/>
  <c r="H19" i="1"/>
  <c r="G19" i="1"/>
  <c r="F19" i="1"/>
  <c r="E19" i="1"/>
  <c r="D19" i="1"/>
  <c r="C19" i="1"/>
  <c r="B19" i="1"/>
  <c r="I18" i="1"/>
  <c r="H18" i="1"/>
  <c r="G18" i="1"/>
  <c r="F18" i="1"/>
  <c r="E18" i="1"/>
  <c r="D18" i="1"/>
  <c r="C18" i="1"/>
  <c r="B18" i="1"/>
  <c r="I17" i="1"/>
  <c r="H17" i="1"/>
  <c r="G17" i="1"/>
  <c r="F17" i="1"/>
  <c r="E17" i="1"/>
  <c r="D17" i="1"/>
  <c r="C17" i="1"/>
  <c r="B17" i="1"/>
  <c r="B7" i="1"/>
  <c r="D7" i="1" s="1"/>
  <c r="B6" i="1"/>
  <c r="E11" i="1"/>
  <c r="E10" i="1"/>
  <c r="E9" i="1"/>
  <c r="E8" i="1"/>
  <c r="E7" i="1"/>
  <c r="B13" i="1"/>
  <c r="E13" i="1" s="1"/>
  <c r="B12" i="1"/>
  <c r="D11" i="1"/>
  <c r="B11" i="1"/>
  <c r="D10" i="1"/>
  <c r="B10" i="1"/>
  <c r="D9" i="1"/>
  <c r="B9" i="1"/>
  <c r="D8" i="1"/>
  <c r="B8" i="1"/>
  <c r="J2" i="1"/>
  <c r="A2" i="1"/>
  <c r="B30" i="4"/>
  <c r="C30" i="4"/>
  <c r="D34" i="4"/>
  <c r="C34" i="4"/>
  <c r="B34" i="4"/>
  <c r="D33" i="4"/>
  <c r="C33" i="4"/>
  <c r="B33" i="4"/>
  <c r="D31" i="4"/>
  <c r="C31" i="4"/>
  <c r="B31" i="4"/>
  <c r="D30" i="4"/>
  <c r="B26" i="4"/>
  <c r="B28" i="4"/>
  <c r="J23" i="4"/>
  <c r="I23" i="4"/>
  <c r="H23" i="4"/>
  <c r="G23" i="4"/>
  <c r="F23" i="4"/>
  <c r="E23" i="4"/>
  <c r="D23" i="4"/>
  <c r="C23" i="4"/>
  <c r="J22" i="4"/>
  <c r="I22" i="4"/>
  <c r="H22" i="4"/>
  <c r="G22" i="4"/>
  <c r="F22" i="4"/>
  <c r="E22" i="4"/>
  <c r="D22" i="4"/>
  <c r="C22" i="4"/>
  <c r="J21" i="4"/>
  <c r="I21" i="4"/>
  <c r="H21" i="4"/>
  <c r="G21" i="4"/>
  <c r="F21" i="4"/>
  <c r="E21" i="4"/>
  <c r="D21" i="4"/>
  <c r="J20" i="4"/>
  <c r="I20" i="4"/>
  <c r="H20" i="4"/>
  <c r="G20" i="4"/>
  <c r="F20" i="4"/>
  <c r="E20" i="4"/>
  <c r="D20" i="4"/>
  <c r="C20" i="4"/>
  <c r="B23" i="4"/>
  <c r="B22" i="4"/>
  <c r="C21" i="4"/>
  <c r="B21" i="4"/>
  <c r="B20" i="4"/>
  <c r="J17" i="4"/>
  <c r="I17" i="4"/>
  <c r="H17" i="4"/>
  <c r="G17" i="4"/>
  <c r="F17" i="4"/>
  <c r="E17" i="4"/>
  <c r="D17" i="4"/>
  <c r="C17" i="4"/>
  <c r="B17" i="4"/>
  <c r="J16" i="4"/>
  <c r="J15" i="4"/>
  <c r="J14" i="4"/>
  <c r="J13" i="4"/>
  <c r="J10" i="4"/>
  <c r="I10" i="4"/>
  <c r="H10" i="4"/>
  <c r="G10" i="4"/>
  <c r="F10" i="4"/>
  <c r="E10" i="4"/>
  <c r="D10" i="4"/>
  <c r="C10" i="4"/>
  <c r="B10" i="4"/>
  <c r="J9" i="4"/>
  <c r="J8" i="4"/>
  <c r="J7" i="4"/>
  <c r="J6" i="4"/>
  <c r="J5" i="4"/>
  <c r="B2" i="4"/>
  <c r="B21" i="3"/>
  <c r="J25" i="3"/>
  <c r="I25" i="3"/>
  <c r="H25" i="3"/>
  <c r="G25" i="3"/>
  <c r="F25" i="3"/>
  <c r="E25" i="3"/>
  <c r="D25" i="3"/>
  <c r="C25" i="3"/>
  <c r="J24" i="3"/>
  <c r="I24" i="3"/>
  <c r="H24" i="3"/>
  <c r="G24" i="3"/>
  <c r="F24" i="3"/>
  <c r="E24" i="3"/>
  <c r="D24" i="3"/>
  <c r="C24" i="3"/>
  <c r="J23" i="3"/>
  <c r="I23" i="3"/>
  <c r="H23" i="3"/>
  <c r="G23" i="3"/>
  <c r="F23" i="3"/>
  <c r="E23" i="3"/>
  <c r="D23" i="3"/>
  <c r="C23" i="3"/>
  <c r="J22" i="3"/>
  <c r="I22" i="3"/>
  <c r="H22" i="3"/>
  <c r="G22" i="3"/>
  <c r="F22" i="3"/>
  <c r="E22" i="3"/>
  <c r="D22" i="3"/>
  <c r="J21" i="3"/>
  <c r="I21" i="3"/>
  <c r="H21" i="3"/>
  <c r="G21" i="3"/>
  <c r="F21" i="3"/>
  <c r="E21" i="3"/>
  <c r="D21" i="3"/>
  <c r="C21" i="3"/>
  <c r="B25" i="3"/>
  <c r="B24" i="3"/>
  <c r="B23" i="3"/>
  <c r="C22" i="3"/>
  <c r="B22" i="3"/>
  <c r="J18" i="3"/>
  <c r="I18" i="3"/>
  <c r="H18" i="3"/>
  <c r="G18" i="3"/>
  <c r="F18" i="3"/>
  <c r="E18" i="3"/>
  <c r="D18" i="3"/>
  <c r="C18" i="3"/>
  <c r="B18" i="3"/>
  <c r="J17" i="3"/>
  <c r="J16" i="3"/>
  <c r="J15" i="3"/>
  <c r="J14" i="3"/>
  <c r="J13" i="3"/>
  <c r="J10" i="3"/>
  <c r="I10" i="3"/>
  <c r="H10" i="3"/>
  <c r="G10" i="3"/>
  <c r="F10" i="3"/>
  <c r="E10" i="3"/>
  <c r="D10" i="3"/>
  <c r="C10" i="3"/>
  <c r="B10" i="3"/>
  <c r="J9" i="3"/>
  <c r="J8" i="3"/>
  <c r="J7" i="3"/>
  <c r="J6" i="3"/>
  <c r="J5" i="3"/>
  <c r="B2" i="3"/>
  <c r="C8" i="2"/>
  <c r="C44" i="2"/>
  <c r="C43" i="2"/>
  <c r="C42" i="2"/>
  <c r="C41" i="2"/>
  <c r="C40" i="2"/>
  <c r="C21" i="2"/>
  <c r="C20" i="2"/>
  <c r="C19" i="2"/>
  <c r="C18" i="2"/>
  <c r="C17" i="2"/>
  <c r="C16" i="2"/>
  <c r="C13" i="2"/>
  <c r="C12" i="2"/>
  <c r="C11" i="2"/>
  <c r="C10" i="2"/>
  <c r="C9" i="2"/>
  <c r="B21" i="2"/>
  <c r="B13" i="2"/>
  <c r="D1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Ravichandran Vaidyanathan</author>
  </authors>
  <commentList>
    <comment ref="B26" authorId="0" shapeId="0" xr:uid="{6EDC2A90-0FA8-4240-B78A-94110ED0AA60}">
      <text>
        <r>
          <rPr>
            <b/>
            <sz val="10"/>
            <color rgb="FF000000"/>
            <rFont val="Tahoma"/>
            <family val="2"/>
          </rPr>
          <t>Sum of rate sensitivity gaps within 1-year repricing horizon</t>
        </r>
      </text>
    </comment>
    <comment ref="C26" authorId="0" shapeId="0" xr:uid="{CCC4D2E5-7835-494B-9EC8-0B68E52E4504}">
      <text>
        <r>
          <rPr>
            <b/>
            <sz val="10"/>
            <color rgb="FF000000"/>
            <rFont val="Tahoma"/>
            <family val="2"/>
          </rPr>
          <t>Ravichandran Vaidyanathan:</t>
        </r>
        <r>
          <rPr>
            <sz val="10"/>
            <color rgb="FF000000"/>
            <rFont val="Tahoma"/>
            <family val="2"/>
          </rPr>
          <t xml:space="preserve">
Midpoint of 15-28 days = 21.5 days / 365</t>
        </r>
      </text>
    </comment>
    <comment ref="D26" authorId="0" shapeId="0" xr:uid="{5E2DEF21-0D8C-A743-8168-F40046B86817}">
      <text>
        <r>
          <rPr>
            <b/>
            <sz val="10"/>
            <color rgb="FF000000"/>
            <rFont val="Tahoma"/>
            <family val="2"/>
          </rPr>
          <t>Ravichandran Vaidyanathan:</t>
        </r>
        <r>
          <rPr>
            <sz val="10"/>
            <color rgb="FF000000"/>
            <rFont val="Tahoma"/>
            <family val="2"/>
          </rPr>
          <t xml:space="preserve">
Midpoint of 29d-3m ≈ 60 days / 365</t>
        </r>
      </text>
    </comment>
    <comment ref="E26" authorId="0" shapeId="0" xr:uid="{26E09718-D227-414C-BECA-4CBAEBE1DC08}">
      <text>
        <r>
          <rPr>
            <b/>
            <sz val="10"/>
            <color rgb="FF000000"/>
            <rFont val="Tahoma"/>
            <family val="2"/>
          </rPr>
          <t>Ravichandran Vaidyanathan:</t>
        </r>
        <r>
          <rPr>
            <sz val="10"/>
            <color rgb="FF000000"/>
            <rFont val="Tahoma"/>
            <family val="2"/>
          </rPr>
          <t xml:space="preserve">
Midpoint of 3-6 months = 4.5 months / 12</t>
        </r>
      </text>
    </comment>
    <comment ref="F26" authorId="0" shapeId="0" xr:uid="{6E96814A-A36D-F54A-8866-E02F44679604}">
      <text>
        <r>
          <rPr>
            <b/>
            <sz val="10"/>
            <color rgb="FF000000"/>
            <rFont val="Tahoma"/>
            <family val="2"/>
          </rPr>
          <t>Ravichandran Vaidyanathan:</t>
        </r>
        <r>
          <rPr>
            <sz val="10"/>
            <color rgb="FF000000"/>
            <rFont val="Tahoma"/>
            <family val="2"/>
          </rPr>
          <t xml:space="preserve">
Midpoint of 6m-1yr = 9 months / 12</t>
        </r>
      </text>
    </comment>
    <comment ref="B28" authorId="0" shapeId="0" xr:uid="{B010066C-3F90-5749-AF49-789C42368E17}">
      <text>
        <r>
          <rPr>
            <b/>
            <sz val="10"/>
            <color rgb="FF000000"/>
            <rFont val="Tahoma"/>
            <family val="2"/>
          </rPr>
          <t>Ravichandran Vaidyanathan:</t>
        </r>
        <r>
          <rPr>
            <sz val="10"/>
            <color rgb="FF000000"/>
            <rFont val="Tahoma"/>
            <family val="2"/>
          </rPr>
          <t xml:space="preserve">
</t>
        </r>
        <r>
          <rPr>
            <sz val="10"/>
            <color rgb="FF000000"/>
            <rFont val="Tahoma"/>
            <family val="2"/>
          </rPr>
          <t>= Total Interest Income - Total Interest Expense, using weighted avg rates from Assumptions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Ravichandran Vaidyanathan</author>
  </authors>
  <commentList>
    <comment ref="B21" authorId="0" shapeId="0" xr:uid="{BC7C9D12-CB32-EA40-A92A-63BF8E6729D2}">
      <text>
        <r>
          <rPr>
            <b/>
            <sz val="10"/>
            <color rgb="FF000000"/>
            <rFont val="Tahoma"/>
            <family val="2"/>
          </rPr>
          <t>Ravichandran Vaidyanathan:</t>
        </r>
        <r>
          <rPr>
            <sz val="10"/>
            <color rgb="FF000000"/>
            <rFont val="Tahoma"/>
            <family val="2"/>
          </rPr>
          <t xml:space="preserve">
=$500 × 8.00%</t>
        </r>
      </text>
    </comment>
    <comment ref="C21" authorId="0" shapeId="0" xr:uid="{D0CEB67E-B38B-DF42-826E-BCE6BF7E0B69}">
      <text>
        <r>
          <rPr>
            <b/>
            <sz val="10"/>
            <color rgb="FF000000"/>
            <rFont val="Tahoma"/>
            <family val="2"/>
          </rPr>
          <t>Ravichandran Vaidyanathan:</t>
        </r>
        <r>
          <rPr>
            <sz val="10"/>
            <color rgb="FF000000"/>
            <rFont val="Tahoma"/>
            <family val="2"/>
          </rPr>
          <t xml:space="preserve">
=$500 × 7.00%</t>
        </r>
      </text>
    </comment>
    <comment ref="D21" authorId="0" shapeId="0" xr:uid="{9B3C264E-ECEA-9F47-8BEF-220A5D6920FB}">
      <text>
        <r>
          <rPr>
            <b/>
            <sz val="10"/>
            <color rgb="FF000000"/>
            <rFont val="Tahoma"/>
            <family val="2"/>
          </rPr>
          <t>Ravichandran Vaidyanathan:</t>
        </r>
        <r>
          <rPr>
            <sz val="10"/>
            <color rgb="FF000000"/>
            <rFont val="Tahoma"/>
            <family val="2"/>
          </rPr>
          <t xml:space="preserve">
=$250×8% + $250×7%</t>
        </r>
      </text>
    </comment>
    <comment ref="B22" authorId="0" shapeId="0" xr:uid="{22952D61-96B8-4247-8CD7-08288C9878DB}">
      <text>
        <r>
          <rPr>
            <b/>
            <sz val="10"/>
            <color rgb="FF000000"/>
            <rFont val="Tahoma"/>
            <family val="2"/>
          </rPr>
          <t>Ravichandran Vaidyanathan:</t>
        </r>
        <r>
          <rPr>
            <sz val="10"/>
            <color rgb="FF000000"/>
            <rFont val="Tahoma"/>
            <family val="2"/>
          </rPr>
          <t xml:space="preserve">
Still 8.00% — rate is FIXED</t>
        </r>
      </text>
    </comment>
    <comment ref="C22" authorId="0" shapeId="0" xr:uid="{E26BDDFF-3EEA-484F-9846-98F1693356C0}">
      <text>
        <r>
          <rPr>
            <b/>
            <sz val="10"/>
            <color rgb="FF000000"/>
            <rFont val="Tahoma"/>
            <family val="2"/>
          </rPr>
          <t>Ravichandran Vaidyanathan:</t>
        </r>
        <r>
          <rPr>
            <sz val="10"/>
            <color rgb="FF000000"/>
            <rFont val="Tahoma"/>
            <family val="2"/>
          </rPr>
          <t xml:space="preserve">
=$500 × 9.00% (SOFR+2% where SOFR went from 5% to 7%)</t>
        </r>
      </text>
    </comment>
    <comment ref="D22" authorId="0" shapeId="0" xr:uid="{7D303114-526D-D240-A617-FE47F2333D54}">
      <text>
        <r>
          <rPr>
            <b/>
            <sz val="10"/>
            <color rgb="FF000000"/>
            <rFont val="Tahoma"/>
            <family val="2"/>
          </rPr>
          <t>Ravichandran Vaidyanathan:</t>
        </r>
        <r>
          <rPr>
            <sz val="10"/>
            <color rgb="FF000000"/>
            <rFont val="Tahoma"/>
            <family val="2"/>
          </rPr>
          <t xml:space="preserve">
=$250×8% + $250×9%</t>
        </r>
      </text>
    </comment>
    <comment ref="B23" authorId="0" shapeId="0" xr:uid="{3F1E009B-B9D5-864E-BDD4-52DA868E2E12}">
      <text>
        <r>
          <rPr>
            <b/>
            <sz val="10"/>
            <color rgb="FF000000"/>
            <rFont val="Tahoma"/>
            <family val="2"/>
          </rPr>
          <t>Ravichandran Vaidyanathan:</t>
        </r>
        <r>
          <rPr>
            <sz val="10"/>
            <color rgb="FF000000"/>
            <rFont val="Tahoma"/>
            <family val="2"/>
          </rPr>
          <t xml:space="preserve">
=$400 × 4.00%</t>
        </r>
      </text>
    </comment>
  </commentList>
</comments>
</file>

<file path=xl/sharedStrings.xml><?xml version="1.0" encoding="utf-8"?>
<sst xmlns="http://schemas.openxmlformats.org/spreadsheetml/2006/main" count="739" uniqueCount="567">
  <si>
    <t>ASSET LIABILITY MANAGEMENT — KEY ASSUMPTIONS</t>
  </si>
  <si>
    <t>Bank Name:</t>
  </si>
  <si>
    <t>Sample National Bank</t>
  </si>
  <si>
    <t>Reporting Date:</t>
  </si>
  <si>
    <t>Currency:</t>
  </si>
  <si>
    <t>USD ($mm)</t>
  </si>
  <si>
    <t>BALANCE SHEET SUMMARY</t>
  </si>
  <si>
    <t>Total Assets</t>
  </si>
  <si>
    <t>Amount ($mm)</t>
  </si>
  <si>
    <t>% of Total</t>
  </si>
  <si>
    <t xml:space="preserve">  Cash &amp; Balances with Central Bank</t>
  </si>
  <si>
    <t xml:space="preserve">  Government Securities</t>
  </si>
  <si>
    <t xml:space="preserve">  Loans &amp; Advances</t>
  </si>
  <si>
    <t xml:space="preserve">  Interbank Placements</t>
  </si>
  <si>
    <t xml:space="preserve">  Fixed Assets &amp; Others</t>
  </si>
  <si>
    <t>Total Liabilities &amp; Equity</t>
  </si>
  <si>
    <t xml:space="preserve">  Demand Deposits (CASA)</t>
  </si>
  <si>
    <t xml:space="preserve">  Term Deposits</t>
  </si>
  <si>
    <t xml:space="preserve">  Borrowings (Interbank)</t>
  </si>
  <si>
    <t xml:space="preserve">  Other Liabilities</t>
  </si>
  <si>
    <t xml:space="preserve">  Shareholders' Equity</t>
  </si>
  <si>
    <t>INTEREST RATE ASSUMPTIONS</t>
  </si>
  <si>
    <t>Asset / Liability Category</t>
  </si>
  <si>
    <t>Current Rate</t>
  </si>
  <si>
    <t>Rate Type</t>
  </si>
  <si>
    <t>Repricing Freq.</t>
  </si>
  <si>
    <t>Asset Rates</t>
  </si>
  <si>
    <t xml:space="preserve">  Cash &amp; Central Bank Balances</t>
  </si>
  <si>
    <t>Fixed</t>
  </si>
  <si>
    <t>Overnight</t>
  </si>
  <si>
    <t>At Maturity</t>
  </si>
  <si>
    <t xml:space="preserve">  Loans &amp; Advances (Fixed)</t>
  </si>
  <si>
    <t xml:space="preserve">  Loans &amp; Advances (Floating)</t>
  </si>
  <si>
    <t>Floating</t>
  </si>
  <si>
    <t>Quarterly</t>
  </si>
  <si>
    <t>Monthly</t>
  </si>
  <si>
    <t>Liability Rates</t>
  </si>
  <si>
    <t>Discretionary</t>
  </si>
  <si>
    <t>N/A</t>
  </si>
  <si>
    <t>RATE SHOCK SCENARIOS</t>
  </si>
  <si>
    <t>Scenario</t>
  </si>
  <si>
    <t>Rate Change (bps)</t>
  </si>
  <si>
    <t>Rate Change (%)</t>
  </si>
  <si>
    <t xml:space="preserve">  Parallel Up (+200 bps)</t>
  </si>
  <si>
    <t xml:space="preserve">  Parallel Up (+100 bps)</t>
  </si>
  <si>
    <t xml:space="preserve">  Base Case</t>
  </si>
  <si>
    <t xml:space="preserve">  Parallel Down (-100 bps)</t>
  </si>
  <si>
    <t xml:space="preserve">  Parallel Down (-200 bps)</t>
  </si>
  <si>
    <t>LIQUIDITY GAP ANALYSIS (STRUCTURAL)</t>
  </si>
  <si>
    <t>Maturity Profile of Assets &amp; Liabilities</t>
  </si>
  <si>
    <t>ASSETS ($mm)</t>
  </si>
  <si>
    <t>1-14 Days</t>
  </si>
  <si>
    <t>15-28 Days</t>
  </si>
  <si>
    <t>29D-3M</t>
  </si>
  <si>
    <t>3-6 Months</t>
  </si>
  <si>
    <t>6M-1 Year</t>
  </si>
  <si>
    <t>1-3 Years</t>
  </si>
  <si>
    <t>3-5 Years</t>
  </si>
  <si>
    <t>Over 5 Years</t>
  </si>
  <si>
    <t>Total</t>
  </si>
  <si>
    <t>Cash &amp; Central Bank</t>
  </si>
  <si>
    <t>Government Securities</t>
  </si>
  <si>
    <t>Loans &amp; Advances</t>
  </si>
  <si>
    <t>Interbank Placements</t>
  </si>
  <si>
    <t>Fixed Assets &amp; Others</t>
  </si>
  <si>
    <t>TOTAL ASSETS</t>
  </si>
  <si>
    <t>LIABILITIES &amp; EQUITY ($mm)</t>
  </si>
  <si>
    <t>Demand Deposits (CASA)</t>
  </si>
  <si>
    <t>Term Deposits</t>
  </si>
  <si>
    <t>Borrowings (Interbank)</t>
  </si>
  <si>
    <t>Other Liabilities</t>
  </si>
  <si>
    <t>Shareholders' Equity</t>
  </si>
  <si>
    <t>TOTAL LIABILITIES &amp; EQUITY</t>
  </si>
  <si>
    <t>GAP ANALYSIS</t>
  </si>
  <si>
    <t>Periodic Gap</t>
  </si>
  <si>
    <t>Cumulative Gap</t>
  </si>
  <si>
    <t>Gap as % of Total Assets</t>
  </si>
  <si>
    <t>Cumulative Gap as % of Total Assets</t>
  </si>
  <si>
    <t>Gap as % of Total Outflows</t>
  </si>
  <si>
    <t>INTEREST RATE SENSITIVITY GAP ANALYSIS</t>
  </si>
  <si>
    <t>Rate-Sensitive Assets vs Rate-Sensitive Liabilities</t>
  </si>
  <si>
    <t>RATE-SENSITIVE ASSETS ($mm)</t>
  </si>
  <si>
    <t>Cash &amp; Central Bank (O/N rate)</t>
  </si>
  <si>
    <t>Govt Securities (Maturing)</t>
  </si>
  <si>
    <t>Loans - Floating Rate (Repricing)</t>
  </si>
  <si>
    <t>Loans - Fixed Rate (Maturing)</t>
  </si>
  <si>
    <t>TOTAL RSA</t>
  </si>
  <si>
    <t>RATE-SENSITIVE LIABILITIES ($mm)</t>
  </si>
  <si>
    <t>CASA (Repricing - Discretionary)</t>
  </si>
  <si>
    <t>Term Deposits (Maturing)</t>
  </si>
  <si>
    <t>Interbank Borrowings (Floating)</t>
  </si>
  <si>
    <t>Other Rate-Sensitive Liabilities</t>
  </si>
  <si>
    <t>TOTAL RSL</t>
  </si>
  <si>
    <t>RATE SENSITIVITY GAP ANALYSIS</t>
  </si>
  <si>
    <t>Rate Sensitivity Gap (RSA - RSL)</t>
  </si>
  <si>
    <t>Cumulative Rate Gap</t>
  </si>
  <si>
    <t>RSA / RSL Ratio</t>
  </si>
  <si>
    <t>Gap as % of Total RSA</t>
  </si>
  <si>
    <t>NII IMPACT ANALYSIS (Earnings at Risk)</t>
  </si>
  <si>
    <t>Rate Shock Scenario</t>
  </si>
  <si>
    <t>Impact on NII ($mm)</t>
  </si>
  <si>
    <t>% of Base NII</t>
  </si>
  <si>
    <t>% of Equity</t>
  </si>
  <si>
    <t>Base NII (Estimated Annual)</t>
  </si>
  <si>
    <t>+200 bps Parallel Shift</t>
  </si>
  <si>
    <t>+100 bps Parallel Shift</t>
  </si>
  <si>
    <t>Base Case (No Change)</t>
  </si>
  <si>
    <t>-100 bps Parallel Shift</t>
  </si>
  <si>
    <t>-200 bps Parallel Shift</t>
  </si>
  <si>
    <t>Cumulative 1-Year Rate Gap:</t>
  </si>
  <si>
    <t>ALM DASHBOARD — GAP ANALYSIS</t>
  </si>
  <si>
    <t>Report Date:</t>
  </si>
  <si>
    <t>KEY RISK METRICS</t>
  </si>
  <si>
    <t>Metric</t>
  </si>
  <si>
    <t>Value</t>
  </si>
  <si>
    <t>Threshold</t>
  </si>
  <si>
    <t>Status</t>
  </si>
  <si>
    <t>Risk Level</t>
  </si>
  <si>
    <t>Total Assets ($mm)</t>
  </si>
  <si>
    <t>Short-Term Gap (≤3M) / Total Assets</t>
  </si>
  <si>
    <t>&gt; -10%</t>
  </si>
  <si>
    <t>Cumulative 1-Year Gap / Total Assets</t>
  </si>
  <si>
    <t>&gt; -15%</t>
  </si>
  <si>
    <t>RSA / RSL Ratio (1-Year)</t>
  </si>
  <si>
    <t>0.80x - 1.20x</t>
  </si>
  <si>
    <t>NII at Risk (+200 bps) / Equity</t>
  </si>
  <si>
    <t>&lt; 5.0%</t>
  </si>
  <si>
    <t>NII at Risk (+200 bps) / Base NII</t>
  </si>
  <si>
    <t>&lt; 10.0%</t>
  </si>
  <si>
    <t>Estimated Base NII ($mm)</t>
  </si>
  <si>
    <t>Net Interest Margin (NIM)</t>
  </si>
  <si>
    <t>&gt; 2.00%</t>
  </si>
  <si>
    <t>—</t>
  </si>
  <si>
    <t>LIQUIDITY GAP PROFILE</t>
  </si>
  <si>
    <t>Time Bucket</t>
  </si>
  <si>
    <t>1-14D</t>
  </si>
  <si>
    <t>15-28D</t>
  </si>
  <si>
    <t>3-6M</t>
  </si>
  <si>
    <t>6M-1Y</t>
  </si>
  <si>
    <t>1-3Y</t>
  </si>
  <si>
    <t>3-5Y</t>
  </si>
  <si>
    <t>&gt;5Y</t>
  </si>
  <si>
    <t>Total Liabilities</t>
  </si>
  <si>
    <t>RATE SENSITIVITY GAP PROFILE</t>
  </si>
  <si>
    <t>RSA</t>
  </si>
  <si>
    <t>RSL</t>
  </si>
  <si>
    <t>Rate Gap</t>
  </si>
  <si>
    <t>NII IMPACT BY RATE SCENARIO</t>
  </si>
  <si>
    <t>NII Impact ($mm)</t>
  </si>
  <si>
    <t>+200 bps</t>
  </si>
  <si>
    <t>+100 bps</t>
  </si>
  <si>
    <t>Base Case</t>
  </si>
  <si>
    <t>-100 bps</t>
  </si>
  <si>
    <t>-200 bps</t>
  </si>
  <si>
    <t>KEY OBSERVATIONS &amp; RISK ASSESSMENT</t>
  </si>
  <si>
    <t>Liquidity Risk:</t>
  </si>
  <si>
    <t>Negative short-term gaps (1-14D to 3-6M) indicate outflows exceed inflows — the bank relies on rolling funding or new deposits. Positive gaps in 1-3Y and 3-5Y buckets show long-term asset concentration. Monitor cumulative gap closely; it reaches -$6.1B at the 6M-1Y mark.</t>
  </si>
  <si>
    <t>Interest Rate Risk:</t>
  </si>
  <si>
    <t>The bank is ASSET-SENSITIVE (positive rate gap within 1-year horizon of $3.6B). Rising rates INCREASE NII (+$72mm for +200bps). Falling rates DECREASE NII. RSA/RSL ratio of 1.06x is within prudent limits. NII at Risk is well below the 5% of equity threshold.</t>
  </si>
  <si>
    <t>Overall Position:</t>
  </si>
  <si>
    <t>All key risk metrics are within regulatory thresholds (PASS). The bank's ALM position is moderately balanced with manageable liquidity and interest rate risk. Recommend monitoring the short-term cumulative gap and maintaining adequate liquidity buffers.</t>
  </si>
  <si>
    <t>ALM GAP ANALYSIS — DETAILED NOTES &amp; Q&amp;A GUIDE</t>
  </si>
  <si>
    <t>Reference guide for understanding the Asset Liability Management Gap Analysis model, key concepts, methodology, and interpretation.</t>
  </si>
  <si>
    <t>SECTION 1: GENERAL ALM CONCEPTS</t>
  </si>
  <si>
    <t>Question</t>
  </si>
  <si>
    <t>Answer</t>
  </si>
  <si>
    <t>Sheet Reference</t>
  </si>
  <si>
    <t>Q1. What is Asset Liability Management (ALM)?</t>
  </si>
  <si>
    <t>ALM is a risk management framework used by banks and financial institutions to manage the risks arising from mismatches between assets and liabilities. It focuses on two primary risks: (1) Liquidity Risk — the risk that maturing liabilities exceed maturing assets in any time period, creating a funding gap; and (2) Interest Rate Risk — the risk that changes in market interest rates adversely affect the bank's net interest income (NII) or economic value of equity (EVE). ALM ensures the bank can meet its obligations while optimizing profitability.</t>
  </si>
  <si>
    <t>All sheets</t>
  </si>
  <si>
    <t>Q2. What is a Gap Analysis in ALM?</t>
  </si>
  <si>
    <t>Gap Analysis is the foundational ALM tool that compares the maturity (or repricing) profile of assets against liabilities across defined time buckets. The "gap" in each bucket equals Assets minus Liabilities. A POSITIVE gap means assets exceed liabilities (asset-heavy), while a NEGATIVE gap means liabilities exceed assets (liability-heavy). The analysis is performed in two forms: (1) Structural Liquidity Gap — based on contractual maturity, and (2) Interest Rate Sensitivity Gap — based on repricing dates for rate-sensitive items.</t>
  </si>
  <si>
    <t>Liquidity Gap, Rate Sensitivity Gap</t>
  </si>
  <si>
    <t>Q3. What are the standard RBI/Basel time buckets used?</t>
  </si>
  <si>
    <t>This model uses the 8 standard maturity buckets prescribed by RBI (Reserve Bank of India) and aligned with Basel III guidelines: (1) 1-14 Days, (2) 15-28 Days, (3) 29 Days to 3 Months, (4) 3-6 Months, (5) 6 Months to 1 Year, (6) 1-3 Years, (7) 3-5 Years, (8) Over 5 Years. These buckets capture short-term liquidity exposure (buckets 1-3), medium-term funding gaps (buckets 4-5), and long-term structural mismatches (buckets 6-8).</t>
  </si>
  <si>
    <t>Liquidity Gap Row 4, Rate Sensitivity Gap Row 4</t>
  </si>
  <si>
    <t>Q4. Why is ALM important for banks?</t>
  </si>
  <si>
    <t>Banks inherently borrow short (deposits) and lend long (loans/mortgages), creating a natural maturity mismatch. ALM is critical because: (1) Regulatory compliance — Basel III and local regulators (RBI, OCC, PRA) mandate ALM reporting and limits; (2) Earnings protection — mismatches expose NII to interest rate volatility; (3) Liquidity management — ensures the bank can meet withdrawal demands and maturing obligations; (4) Capital adequacy — EVE impact of rate changes affects economic capital; (5) Strategic planning — informs asset/liability mix, pricing decisions, and funding strategies.</t>
  </si>
  <si>
    <t>Dashboard (Key Risk Metrics)</t>
  </si>
  <si>
    <t>SECTION 2: LIQUIDITY GAP ANALYSIS</t>
  </si>
  <si>
    <t>Q5. What is the Structural Liquidity Gap?</t>
  </si>
  <si>
    <t>The Structural Liquidity Gap (also called Maturity Gap) shows the difference between assets and liabilities maturing in each time bucket based on contractual maturity. Formula: Periodic Gap = Total Assets Maturing – Total Liabilities Maturing in each bucket. A negative gap indicates a net cash outflow — the bank needs to raise funds or roll over maturing liabilities. In this model, assets include cash, government securities, loans, interbank placements, and fixed assets distributed by their maturity profiles.</t>
  </si>
  <si>
    <t>Liquidity Gap, Rows 5-10 (Assets), Rows 13-18 (Liabilities), Row 21 (Gap)</t>
  </si>
  <si>
    <t>Q6. What is the Periodic Gap vs. Cumulative Gap?</t>
  </si>
  <si>
    <t>PERIODIC GAP: The net difference between assets and liabilities maturing within a SINGLE time bucket. It shows the funding surplus or deficit for that specific period. CUMULATIVE GAP: The running total of all periodic gaps from the first bucket to the current bucket. Formula: Cumulative Gap(t) = Cumulative Gap(t-1) + Periodic Gap(t). The cumulative gap is more important for risk assessment because it shows the bank's total net funding position up to each point in time. A persistently negative cumulative gap signals structural funding dependency.</t>
  </si>
  <si>
    <t>Liquidity Gap, Row 21 (Periodic), Row 22 (Cumulative)</t>
  </si>
  <si>
    <t>Q7. How should the Liquidity Gap ratios be interpreted?</t>
  </si>
  <si>
    <t>Three key ratios are calculated: (1) Gap as % of Total Assets = Periodic Gap / Total Assets — shows relative size of the mismatch vs. the bank's balance sheet; typically should stay within ±10%. (2) Cumulative Gap as % of Total Assets = Cumulative Gap / Total Assets — the most watched metric; RBI guideline suggests not exceeding -15% for the 1-year cumulative bucket. (3) Gap as % of Total Outflows = Periodic Gap / Total Liabilities in bucket — shows how much of the outflow is uncovered; a ratio of -30% means 30% of outflows in that bucket lack matching asset maturities.</t>
  </si>
  <si>
    <t>Liquidity Gap, Rows 23-25</t>
  </si>
  <si>
    <t>Q8. Why do some buckets show negative gaps while others are positive?</t>
  </si>
  <si>
    <t>This is the natural consequence of bank business models. Short-term buckets (1-14D through 3-6M) typically show negative gaps because: (a) Deposits (especially demand deposits/CASA) are classified in short-term buckets as they can be withdrawn anytime, (b) A large portion of loans have longer maturities (1-5+ years). Long-term buckets (1-3Y, 3-5Y) show positive gaps because the bulk of loan portfolios mature in these tenors. This "borrow short, lend long" pattern is how banks earn the term premium but creates liquidity risk.</t>
  </si>
  <si>
    <t>Liquidity Gap, Row 21 (see conditional formatting)</t>
  </si>
  <si>
    <t>Q9. What does it mean when cumulative gap reaches ($6,100) at the 6M-1Y bucket?</t>
  </si>
  <si>
    <t>The cumulative gap of ($6,100)mm at the 6M-1Y mark means that over the next 12 months, the bank's maturing liabilities exceed maturing assets by $6.1 billion. This represents 6.4% of total assets ($6,100 / $95,000). The bank must fund this gap through: (1) New deposit acquisition, (2) Rolling over maturing term deposits, (3) Interbank borrowing, (4) Selling/repo-ing liquid securities, or (5) Central bank facilities. While within regulatory limits (&lt;15%), it requires active liquidity management and contingency planning.</t>
  </si>
  <si>
    <t>Liquidity Gap F22; Dashboard B8</t>
  </si>
  <si>
    <t>Q10. How are asset categories distributed across maturity buckets?</t>
  </si>
  <si>
    <t>Each asset class has a characteristic maturity profile: CASH &amp; CENTRAL BANK ($8.5B) — concentrated in shortest buckets (1-14D: $5.5B) as these are highly liquid overnight balances. GOVT SECURITIES ($22B) — spread across all buckets with concentration in medium-term (6M-3Y) reflecting a laddered investment portfolio. LOANS ($55B) — heaviest in 1-3Y ($14B) and 3-5Y ($9.5B) buckets, reflecting typical loan tenors. INTERBANK ($6B) — concentrated in short-term buckets (mostly &lt;3M) as these are typically short-dated placements. FIXED ASSETS ($3.5B) — placed in the longest bucket (&gt;5Y) as they are non-maturing.</t>
  </si>
  <si>
    <t>Liquidity Gap, Rows 5-9</t>
  </si>
  <si>
    <t>SECTION 3: INTEREST RATE SENSITIVITY GAP</t>
  </si>
  <si>
    <t>Q11. What is the difference between Liquidity Gap and Rate Sensitivity Gap?</t>
  </si>
  <si>
    <t>LIQUIDITY GAP classifies ALL assets and liabilities by their contractual maturity date — when cash flows actually occur. It measures funding risk. RATE SENSITIVITY GAP classifies only RATE-SENSITIVE items by their next repricing date — when the interest rate resets. It measures interest rate risk. Key difference: A 10-year floating-rate loan reprices quarterly, so it appears in the “29D-3M” bucket for rate sensitivity (next repricing) but in the “3-5Y” or “&gt;5Y” bucket for liquidity (contractual maturity). Non-rate-sensitive items (equity, fixed assets, non-interest-bearing deposits) may be excluded from rate sensitivity analysis.</t>
  </si>
  <si>
    <t>Liquidity Gap vs. Rate Sensitivity Gap</t>
  </si>
  <si>
    <t>Q12. What are Rate-Sensitive Assets (RSA) and Rate-Sensitive Liabilities (RSL)?</t>
  </si>
  <si>
    <t>RSA are assets whose interest income changes when market rates change, either because they carry floating rates (repricing at intervals) or because they mature and are reinvested at new rates. In this model: Cash ($8B, overnight rate), Govt Securities ($22B, maturing/reinvested), Floating Loans ($28B, repricing quarterly), Fixed Loans ($27B, maturing), Interbank ($6B, short-term). Total RSA = $91B. RSL are liabilities whose interest cost changes with rate movements: CASA ($28B, discretionary repricing), Term Deposits ($35B, maturing/renewed), Interbank Borrowings ($12B, floating), Other ($1.9B). Total RSL = $76.9B. Equity ($16B) is excluded from RSL as it has no interest cost.</t>
  </si>
  <si>
    <t>Rate Sensitivity Gap, Rows 5-10 (RSA), Rows 13-17 (RSL)</t>
  </si>
  <si>
    <t>Q13. What does an RSA/RSL Ratio of 1.06x mean?</t>
  </si>
  <si>
    <t>The RSA/RSL ratio of 1.06x (within the 1-year horizon) means rate-sensitive assets exceed rate-sensitive liabilities by 6%. This indicates the bank is ASSET-SENSITIVE (also called "positively gapped"). Implications: (1) When rates RISE → asset yields reprice upward faster/more than liability costs → NII INCREASES → beneficial. (2) When rates FALL → asset yields decline faster than funding costs → NII DECREASES → harmful. Prudent range: 0.80x–1.20x. Outside this range, the bank has significant directional rate exposure. At 1.06x, the position is slightly asset-sensitive but well within prudent limits.</t>
  </si>
  <si>
    <t>Rate Sensitivity Gap Row 22; Dashboard B9</t>
  </si>
  <si>
    <t>Q14. What is the Cumulative 1-Year Rate Gap and why is it important?</t>
  </si>
  <si>
    <t>The Cumulative 1-Year Rate Gap ($3,600mm in this model) is the sum of all periodic rate sensitivity gaps within the first 5 time buckets (1-14D through 6M-1Y). It represents the net rate-sensitive position that will reprice within one year. This is the single most important number for NII-at-Risk analysis because: (1) It directly determines how much NII changes for a given rate shock: ΔNII = Cumulative Gap × ΔRate. (2) Regulators focus on the 1-year horizon for earnings risk limits. (3) It captures both maturing fixed-rate and repricing floating-rate exposures. At $3.6B positive, a +100bps rate increase adds approximately $36mm to annual NII.</t>
  </si>
  <si>
    <t>Rate Sensitivity Gap B26</t>
  </si>
  <si>
    <t>Q15. How are floating-rate loans different from fixed-rate loans in this analysis?</t>
  </si>
  <si>
    <t>FLOATING-RATE LOANS ($28B): Classified by their REPRICING DATE, not maturity. A 20-year mortgage on a quarterly floating rate appears in the 29D-3M bucket because the rate resets every quarter. The full principal amount is rate-sensitive in the near-term. These drive most of the bank's rate sensitivity. FIXED-RATE LOANS ($27B): Classified by their MATURITY DATE. The rate is locked until maturity, so they only become rate-sensitive when they mature and must be reinvested. A 5-year fixed loan at 8.75% stays at that rate regardless of market movements. The split between fixed and floating determines how responsive the bank's asset yield is to rate changes.</t>
  </si>
  <si>
    <t>Rate Sensitivity Gap, Row 7 (Floating) vs. Row 8 (Fixed); Assumptions B28-B29</t>
  </si>
  <si>
    <t>Q16. Why is CASA (Demand Deposits) classified as rate-sensitive?</t>
  </si>
  <si>
    <t>CASA deposits ($28B) have a key characteristic: the bank sets the rate at its DISCRETION (not by contract or market benchmark). This makes them rate-sensitive because: (1) Banks typically adjust CASA rates (currently 3.50%) in response to market rate changes, though with a lag and asymmetry — they raise deposit rates slowly when rates rise, and cut quickly when rates fall. (2) In a rising rate environment, CASA represents a funding advantage as repricing is slower than market rates. (3) Behavioral modeling is complex — while contractually on-demand, a portion is considered "core" (stable, non-withdrawable). The distribution across buckets ($4.2B per short-term bucket) reflects assumed behavioral run-off patterns.</t>
  </si>
  <si>
    <t>Rate Sensitivity Gap Row 13; Assumptions B33</t>
  </si>
  <si>
    <t>SECTION 4: NII IMPACT &amp; EARNINGS AT RISK</t>
  </si>
  <si>
    <t>Q17. How is the Base NII ($3,005mm) calculated?</t>
  </si>
  <si>
    <t>Base NII (Net Interest Income) is estimated as Total Interest Income minus Total Interest Expense using the weighted average rates from the Assumptions sheet. Interest Income = Cash×4.00% + Govt Sec×6.50% + Loans×avg(8.75%,9.20%) + Interbank×5.50% = $8,500×0.04 + $22,000×0.065 + $55,000×0.0898 + $6,000×0.055 = $340 + $1,430 + $4,938 + $330 = $7,038mm. Interest Expense = CASA×3.50% + Term Dep×6.50% + Borrowings×5.80% + Other×2.00% = $980 + $2,275 + $696 + $80 = $4,031mm. Base NII = $7,038 – $4,031 ≈ $3,005mm. This represents the bank's net interest margin of approximately 3.16% ($3,005/$95,000).</t>
  </si>
  <si>
    <t>Rate Sensitivity Gap B28; Assumptions (Rates)</t>
  </si>
  <si>
    <t>Q18. How is the NII Impact (Earnings at Risk) calculated?</t>
  </si>
  <si>
    <t>NII Impact measures how much the bank's Net Interest Income changes under parallel interest rate shock scenarios. The standard formula is: ΔNII = Cumulative 1-Year Rate Gap × Rate Change. For this bank: Cumulative 1-Year Gap = $3,600mm; +200bps shock: ΔNII = $3,600 × 2.00% = +$72mm (NII increases); +100bps shock: ΔNII = $3,600 × 1.00% = +$36mm; -100bps shock: ΔNII = $3,600 × (-1.00%) = -$36mm (NII decreases); -200bps shock: ΔNII = $3,600 × (-2.00%) = -$72mm. This is a simplified linear approximation. In practice, banks use more sophisticated models accounting for optionality (prepayments, caps/floors), basis risk, and non-parallel shifts.</t>
  </si>
  <si>
    <t>Rate Sensitivity Gap B26, B30:B34; Assumptions B40:B44</t>
  </si>
  <si>
    <t>Q19. What is the significance of NII at Risk as % of Equity (0.45%)?</t>
  </si>
  <si>
    <t>NII at Risk as % of Equity measures the maximum potential NII loss relative to the bank's capital base. At 0.45% (for +200bps), this is well within the typical regulatory threshold of &lt;5%. Interpretation: A +200bps rate shock would change NII by $72mm, which is only 0.45% of the bank's $16B equity. This means: (1) The bank's capital can easily absorb the earnings volatility from rate changes; (2) There is substantial headroom before breaching limits; (3) The bank could take on more rate risk if desired for strategic positioning. Banks with this metric &gt;5% are considered to have high interest rate risk and may face regulatory scrutiny.</t>
  </si>
  <si>
    <t>Rate Sensitivity Gap D30; Dashboard B10</t>
  </si>
  <si>
    <t>Q20. What does "Parallel Shift" mean in rate shock scenarios?</t>
  </si>
  <si>
    <t>A parallel shift assumes ALL interest rates across the entire yield curve move by the same amount simultaneously. For example, +200bps parallel shift means: overnight rates increase by 2%, 3-month rates increase by 2%, 1-year rates increase by 2%, 5-year rates increase by 2%, etc. This is a simplification — in reality, rate changes are often non-parallel (short rates may move more than long rates, or vice versa). Advanced ALM models also test: (1) Steepening — short rates unchanged, long rates up; (2) Flattening — short rates up, long rates unchanged; (3) Inversion — short rates rise above long rates; (4) Basis shocks — LIBOR/SOFR spread widens. The ±200bps range aligns with Basel Committee's IRRBB (Interest Rate Risk in the Banking Book) prescribed shock scenarios.</t>
  </si>
  <si>
    <t>Assumptions B38:C44</t>
  </si>
  <si>
    <t>Q21. Why is the bank asset-sensitive, and what does that imply for strategy?</t>
  </si>
  <si>
    <t>The bank is asset-sensitive (positive rate gap of $3.6B within 1 year) primarily because: (1) $28B of floating-rate loans reprice quickly (quarterly), while (2) A significant portion of liabilities are in fixed-rate term deposits ($35B) that only reprice at maturity. STRATEGIC IMPLICATIONS: In a rising rate environment, this position is FAVORABLE — asset yields increase before funding costs catch up. In a falling rate environment, it is UNFAVORABLE — asset yields drop first. If the bank's view is that rates will fall, it may consider: (a) Extending floating-rate loan tenors to fixed, (b) Shifting funding toward floating-rate borrowings, (c) Using interest rate swaps to convert the gap from positive to negative (pay-fixed, receive-floating).</t>
  </si>
  <si>
    <t>Rate Sensitivity Gap Row 20-21; Dashboard B9</t>
  </si>
  <si>
    <t>SECTION 5: DASHBOARD METRICS &amp; REGULATORY THRESHOLDS</t>
  </si>
  <si>
    <t>Q22. What does the Short-Term Gap (≤3M) / Total Assets metric tell us?</t>
  </si>
  <si>
    <t>This metric (-4.6% in this model) measures the bank's immediate liquidity exposure over the next 3 months. It is the cumulative gap for buckets 1-14D + 15-28D + 29D-3M, divided by total assets. Threshold: &gt; -10% (i.e., the negative gap should not exceed 10% of total assets). At -4.6%, the bank has adequate short-term liquidity but is relying on rolling short-term funding. A breach (below -10%) would indicate severe near-term funding stress and trigger enhanced liquidity management, potential asset sales, or emergency borrowing facilities.</t>
  </si>
  <si>
    <t>Dashboard B7</t>
  </si>
  <si>
    <t>Q23. What does the Cumulative 1-Year Gap / Total Assets metric tell us?</t>
  </si>
  <si>
    <t>This metric (-6.4% in this model) extends the liquidity assessment to the full 1-year horizon. It shows that maturing liabilities exceed maturing assets by $6.1B over 12 months, representing 6.4% of the total balance sheet. Threshold: &gt; -15% (RBI/Basel guideline). At -6.4%, the bank is well within the limit, meaning it has a manageable 1-year funding gap. Action triggers: -10% to -15% = enhanced monitoring and contingency planning; below -15% = regulatory breach requiring immediate remediation (e.g., reducing loan commitments, raising long-term funding, selling assets).</t>
  </si>
  <si>
    <t>Dashboard B8</t>
  </si>
  <si>
    <t>Q24. What is the Net Interest Margin (NIM) and is 3.16% good?</t>
  </si>
  <si>
    <t>NIM = Net Interest Income / Total Assets = $3,005mm / $95,000mm = 3.16%. NIM is the most fundamental profitability metric for banks — it measures how efficiently the bank earns interest on its asset base. Threshold: &gt; 2.00% is the minimum prudent level; most healthy banks target 2.50%-3.50%. At 3.16%, this bank has a healthy NIM indicating: (1) Good spread between asset yields (~7.4% weighted avg) and liability costs (~4.2%), (2) Effective pricing of loans and deposits, (3) Reasonable asset mix with higher-yielding loans forming the majority. NIM can be enhanced by: increasing the loan-to-asset ratio, improving CASA ratio (cheaper funding), or repricing loans upward.</t>
  </si>
  <si>
    <t>Dashboard B13</t>
  </si>
  <si>
    <t>Q25. What do the PASS/BREACH indicators mean on the Dashboard?</t>
  </si>
  <si>
    <t>Each key metric is compared against regulatory or internal prudential thresholds: PASS (green) = Metric is within acceptable limits; no action required. BREACH (red) = Metric has crossed the threshold; requires immediate attention and remediation plan. Risk Levels provide additional granularity: ✅ Low = well within limits, no concern; ⚠️ Medium = within limits but approaching threshold, warrants monitoring; ❌ High = at or near breach level, urgent action needed. Currently all 7 metrics show PASS, with liquidity metrics at Medium risk (approaching but not breaching limits) and interest rate metrics at Low risk.</t>
  </si>
  <si>
    <t>Dashboard D7:E13</t>
  </si>
  <si>
    <t>Q26. How should the RSA/RSL Ratio range of 0.80x-1.20x be interpreted?</t>
  </si>
  <si>
    <t>The RSA/RSL Ratio threshold of 0.80x-1.20x represents the "neutral zone" where the bank's interest rate risk is considered manageable. Breakdown: &lt;0.80x = Heavily liability-sensitive; NII highly vulnerable to rising rates (assets reprice slower than liabilities). Very risky if rates are expected to rise. 0.80x-0.90x = Moderately liability-sensitive; some rate risk but manageable. 0.90x-1.10x = Nearly balanced; minimal directional rate risk (ideal for risk-averse banks). 1.10x-1.20x = Moderately asset-sensitive; benefits from rising rates (this bank at 1.06x). &gt;1.20x = Heavily asset-sensitive; NII highly vulnerable to falling rates. At 1.06x, the bank has a slight asset-sensitive tilt, which is favorable in a rising rate environment.</t>
  </si>
  <si>
    <t>Dashboard B9, C9</t>
  </si>
  <si>
    <t>SECTION 6: PRACTICAL USAGE &amp; MODEL ASSUMPTIONS</t>
  </si>
  <si>
    <t>Q27. How do I customize this model with my own bank's data?</t>
  </si>
  <si>
    <t>Step 1: Update the Assumptions sheet — change bank name, reporting date, balance sheet totals, and interest rates (all blue-colored inputs are editable). Step 2: Update the Liquidity Gap sheet — replace the asset and liability maturity distributions in each time bucket (rows 5-9 for assets, rows 13-17 for liabilities). Ensure each row sums to the total in the Assumptions sheet. Step 3: Update the Rate Sensitivity Gap sheet — replace RSA and RSL distributions based on your bank's repricing profile. Note: floating-rate items are classified by repricing date, fixed-rate by maturity date. Step 4: The Dashboard, gap calculations, NII impact, and charts all update automatically via formulas.</t>
  </si>
  <si>
    <t>Assumptions (blue cells), Liquidity Gap, Rate Sensitivity Gap</t>
  </si>
  <si>
    <t>Q28. What are the key limitations of this Gap Analysis model?</t>
  </si>
  <si>
    <t>This model has several simplifications common to traditional gap analysis: (1) STATIC MODEL — assumes the balance sheet doesn't change over the projection period (no new loans, deposits, or repayments). (2) LINEAR NII IMPACT — assumes rate changes are fully passed through to all rate-sensitive items equally; in reality, deposit betas differ from loan betas. (3) NO OPTIONALITY — ignores prepayment risk on loans, early withdrawal of deposits, and embedded caps/floors. (4) PARALLEL SHIFTS ONLY — doesn't model curve twists, steepening, or basis risk. (5) NO BEHAVIORAL MODELING — CASA is distributed using assumed run-off patterns, not sophisticated behavioral models. (6) NO EVE ANALYSIS — measures only earnings (NII) impact, not Economic Value of Equity. For a more comprehensive framework, banks should supplement with duration gap analysis, EVE sensitivity, and Monte Carlo simulation.</t>
  </si>
  <si>
    <t>Q29. What is the difference between NII at Risk and EVE (Economic Value of Equity)?</t>
  </si>
  <si>
    <t>NII at Risk (EARNINGS perspective): Measures how much annual Net Interest Income changes under a rate shock over a 1-year horizon. This model calculates NII at Risk. It focuses on short-term profitability impact and is the primary metric for ALCO (Asset Liability Committee) decision-making. EVE (ECONOMIC VALUE perspective): Measures the change in the present value of all future cash flows from assets and liabilities when rates change. EVE captures the FULL lifetime impact of rate changes on the bank's economic value, including long-dated positions beyond 1 year. Basel IRRBB requires banks to report BOTH metrics. A bank can have low NII risk but high EVE risk if it has large long-dated mismatches beyond the 1-year horizon. This model focuses on NII; EVE analysis requires discounted cash flow modeling of all future flows.</t>
  </si>
  <si>
    <t>Rate Sensitivity Gap B28, B30:B34</t>
  </si>
  <si>
    <t>Q30. What actions can the ALCO take based on this Gap Analysis?</t>
  </si>
  <si>
    <t>The Asset Liability Committee (ALCO) uses gap analysis to make strategic decisions: LIQUIDITY MANAGEMENT: (1) Adjust deposit pricing to attract longer-term deposits and reduce short-term funding gaps. (2) Establish committed credit lines or repo facilities as contingency funding. (3) Maintain a liquid securities buffer (govt bonds) that can be quickly sold or pledged. INTEREST RATE MANAGEMENT: (1) If expecting rate cuts: shift loan book from floating to fixed rates; increase floating-rate borrowings; consider pay-floating, receive-fixed swaps. (2) If expecting rate hikes: maintain current asset-sensitive position; lock in fixed-rate funding at current levels; consider pay-fixed swaps on liabilities. BALANCE SHEET OPTIMIZATION: (1) Improve CASA ratio to reduce funding cost. (2) Diversify funding sources to reduce concentration risk. (3) Align asset origination tenors with funding availability.</t>
  </si>
  <si>
    <t>Dashboard (Key Risk Metrics), all analysis sheets</t>
  </si>
  <si>
    <t>ILLUSTRATION: STRUCTURAL LIQUIDITY GAP</t>
  </si>
  <si>
    <t>CONCEPT</t>
  </si>
  <si>
    <t>What is it?</t>
  </si>
  <si>
    <t>The Structural Liquidity Gap places every asset and liability into a time bucket based on its CONTRACTUAL MATURITY — the date the cash flow actually occurs.</t>
  </si>
  <si>
    <t>Why does it matter?</t>
  </si>
  <si>
    <t>If more liabilities mature than assets in any period, the bank must find NEW FUNDING to cover the shortfall. This is liquidity risk.</t>
  </si>
  <si>
    <t>Key formula:</t>
  </si>
  <si>
    <t>Gap = Assets Maturing – Liabilities Maturing   |   Positive = Surplus (safe)   |   Negative = Deficit (risk)</t>
  </si>
  <si>
    <t>STEP-BY-STEP EXAMPLE: "MINI BANK" (Total Balance Sheet = $1,000)</t>
  </si>
  <si>
    <t>Step 1: Place each ASSET into its maturity bucket</t>
  </si>
  <si>
    <t>0-3 Months</t>
  </si>
  <si>
    <t>3-12 Months</t>
  </si>
  <si>
    <t>1-5 Years</t>
  </si>
  <si>
    <t>&gt;5 Years</t>
  </si>
  <si>
    <t>Cash (available now)</t>
  </si>
  <si>
    <t>Short-Term Bonds (mature in 6M)</t>
  </si>
  <si>
    <t>Business Loans (mature in 3Y)</t>
  </si>
  <si>
    <t>Mortgages (mature in 20Y)</t>
  </si>
  <si>
    <t>→ TOTAL ASSETS</t>
  </si>
  <si>
    <t>Step 2: Place each LIABILITY into its maturity bucket</t>
  </si>
  <si>
    <t>Demand Deposits (withdrawable anytime)</t>
  </si>
  <si>
    <t>1-Year Term Deposits</t>
  </si>
  <si>
    <t>Interbank Borrowing (30-day)</t>
  </si>
  <si>
    <t>Equity (permanent capital)</t>
  </si>
  <si>
    <t>→ TOTAL LIABILITIES &amp; EQUITY</t>
  </si>
  <si>
    <t>Step 3: Calculate the GAP (Assets – Liabilities) in each bucket</t>
  </si>
  <si>
    <t>Interpretation</t>
  </si>
  <si>
    <t>Total Assets (from Step 1)</t>
  </si>
  <si>
    <t>Total Liabilities (from Step 2)</t>
  </si>
  <si>
    <t>→ GAP = Assets – Liabilities</t>
  </si>
  <si>
    <t>Step 4: Read the result — What does each gap tell you?</t>
  </si>
  <si>
    <t>0-3 Months: Gap = ($250)</t>
  </si>
  <si>
    <t>❌ DEFICIT — $350 in liabilities mature but only $100 in assets. The bank must find $250 in new funding within 3 months (e.g., roll over deposits, borrow in interbank market, sell liquid securities).</t>
  </si>
  <si>
    <t>3-12 Months: Gap = ($200)</t>
  </si>
  <si>
    <t>❌ DEFICIT — Another $200 shortfall. Deposits maturing faster than loans. The bank needs continued funding. Cumulative pressure is building.</t>
  </si>
  <si>
    <t>1-5 Years: Gap = $300</t>
  </si>
  <si>
    <t>✅ SURPLUS — $400 in loan repayments vs only $100 in maturing term deposits. The bank receives more cash than it owes. This is where the bank earns its "maturity transformation" premium.</t>
  </si>
  <si>
    <t>&gt;5 Years: Gap = $150</t>
  </si>
  <si>
    <t>✅ SURPLUS — Mortgage repayments ($350) exceed equity obligations ($200). Long-term assets generating cash flow well beyond funding maturity.</t>
  </si>
  <si>
    <t>KEY TAKEAWAY</t>
  </si>
  <si>
    <t>The Pattern:</t>
  </si>
  <si>
    <t>Banks BORROW SHORT (deposits are short-term) and LEND LONG (loans are long-term). This creates NEGATIVE gaps in short-term buckets and POSITIVE gaps in long-term buckets. This is the fundamental business model of banking — but it creates liquidity risk that must be actively managed.</t>
  </si>
  <si>
    <t>The Risk:</t>
  </si>
  <si>
    <t>If depositors withdraw faster than expected, or if the bank cannot roll over maturing borrowings, the short-term deficit becomes a LIQUIDITY CRISIS. This is why regulators require banks to monitor and report structural liquidity gaps, and maintain adequate liquid asset buffers.</t>
  </si>
  <si>
    <t>Your Model:</t>
  </si>
  <si>
    <t>See the full analysis with 8 RBI/Basel maturity buckets and actual bank data in the ‘Liquidity Gap’ sheet. The Dashboard shows whether each metric is within regulatory limits.</t>
  </si>
  <si>
    <t>ILLUSTRATION: PERIODIC GAP vs CUMULATIVE GAP</t>
  </si>
  <si>
    <t>Periodic Gap:</t>
  </si>
  <si>
    <t>The gap for ONE specific time bucket. It answers: "In THIS period alone, do I have more assets or liabilities maturing?"</t>
  </si>
  <si>
    <t>Cumulative Gap:</t>
  </si>
  <si>
    <t>The running total of ALL periodic gaps from the start. It answers: "FROM NOW until this point, what is my TOTAL net funding position?"</t>
  </si>
  <si>
    <t>Why both matter:</t>
  </si>
  <si>
    <t>A bucket may have a positive periodic gap, but the cumulative gap could still be negative if earlier deficits haven't been offset yet.</t>
  </si>
  <si>
    <t>STEP-BY-STEP EXAMPLE (Using the Mini Bank from Structural Liquidity tab)</t>
  </si>
  <si>
    <t>Step 1: Start with the periodic gaps (from Structural Liquidity)</t>
  </si>
  <si>
    <t>0-3M</t>
  </si>
  <si>
    <t>3-12M</t>
  </si>
  <si>
    <t>1-5Y</t>
  </si>
  <si>
    <t>Assets Maturing</t>
  </si>
  <si>
    <t>Liabilities Maturing</t>
  </si>
  <si>
    <t>Periodic Gap (A – L)</t>
  </si>
  <si>
    <t>Step 2: Build the CUMULATIVE gap (running total)</t>
  </si>
  <si>
    <t>Periodic Gap (this bucket only)</t>
  </si>
  <si>
    <t>Formula:</t>
  </si>
  <si>
    <t>= ($250)</t>
  </si>
  <si>
    <t>= ($250) + ($200)</t>
  </si>
  <si>
    <t>= ($450) + $300</t>
  </si>
  <si>
    <t>= ($150) + $150</t>
  </si>
  <si>
    <t>→ CUMULATIVE GAP</t>
  </si>
  <si>
    <t>Step 3: Walk through each bucket — Periodic vs Cumulative side by side</t>
  </si>
  <si>
    <t>Bucket</t>
  </si>
  <si>
    <t>What’s happening?</t>
  </si>
  <si>
    <t>Action needed?</t>
  </si>
  <si>
    <t>More deposits &amp; borrowings due than assets maturing. Immediate funding pressure.</t>
  </si>
  <si>
    <t>❌ YES — Must raise $250 via new deposits, interbank loans, or sell liquid assets.</t>
  </si>
  <si>
    <t>Another deficit period. Even though periodic gap is ($200), the cumulative gap is ($450) because the prior $250 deficit carries forward.</t>
  </si>
  <si>
    <t>❌ YES — Cumulative $450 deficit. Bank has been in continuous funding shortfall for 12 months.</t>
  </si>
  <si>
    <t>Large SURPLUS this period ($300). Loan repayments exceed maturing deposits. But cumulative is STILL negative ($150) because prior deficits haven’t been fully offset.</t>
  </si>
  <si>
    <t>⚠️ PARTIAL — Periodic surplus helps, but cumulative gap still negative. Not fully recovered.</t>
  </si>
  <si>
    <t>Another surplus ($150). Cumulative gap reaches $0 — over the FULL life of the balance sheet, total assets = total liabilities + equity.</t>
  </si>
  <si>
    <t>✅ BALANCED — Over total horizon, balance sheet is square. But the PATH matters more than the endpoint.</t>
  </si>
  <si>
    <t>KEY INSIGHT: WHY CUMULATIVE GAP MATTERS MORE</t>
  </si>
  <si>
    <t>Analogy:</t>
  </si>
  <si>
    <t>Think of it like a bank account. The periodic gap is your income minus expenses each month. The cumulative gap is your running balance. Even if you earn more than you spend in Month 3 (+$300), your balance could still be negative if you overspent in Months 1 &amp; 2.</t>
  </si>
  <si>
    <t>The trap:</t>
  </si>
  <si>
    <t>Looking ONLY at periodic gaps can be misleading. The 1-5Y bucket shows a healthy +$300 surplus, but the cumulative position is STILL ($150) in deficit. A bank manager looking only at the periodic gap might feel comfortable, but the cumulative view reveals ongoing funding stress.</t>
  </si>
  <si>
    <t>Regulatory focus:</t>
  </si>
  <si>
    <t>RBI and Basel III focus on CUMULATIVE gap metrics, not periodic. The key limit is: Cumulative Gap within 1 Year / Total Assets should be &gt; -15%. In this mini example: ($450) / $1,000 = -45% — a severe breach! This bank needs urgent funding action.</t>
  </si>
  <si>
    <t>The actual bank in this model has a cumulative 1-year gap of ($6,100mm) / $95,000mm = -6.4%, which is within the -15% threshold. See ‘Liquidity Gap’ Row 22 and ‘Dashboard’ B8.</t>
  </si>
  <si>
    <t>ILLUSTRATION: LIQUIDITY GAP RATIOS</t>
  </si>
  <si>
    <t>WHY RATIOS? Raw dollar gaps don’t tell you how serious the mismatch is. A ($250) gap is critical for a $1,000 bank but trivial for a $1,000,000 bank. Ratios normalize the gaps for comparison.</t>
  </si>
  <si>
    <t>THREE KEY RATIOS (Using Mini Bank: Total Assets = $1,000)</t>
  </si>
  <si>
    <t>RATIO 1: Gap as % of Total Assets</t>
  </si>
  <si>
    <t>= Periodic Gap in Bucket ÷ Total Assets</t>
  </si>
  <si>
    <t>Purpose:</t>
  </si>
  <si>
    <t>Shows how large each bucket’s mismatch is relative to the bank’s entire balance sheet. Makes gaps comparable across banks of different sizes.</t>
  </si>
  <si>
    <t>Periodic Gap ($)</t>
  </si>
  <si>
    <t>Total Assets ($)</t>
  </si>
  <si>
    <t>→ Gap / Total Assets</t>
  </si>
  <si>
    <t>Within ±10%</t>
  </si>
  <si>
    <t>Reading:</t>
  </si>
  <si>
    <t>-25%: A quarter of the bank’s balance sheet is exposed to a short-term funding gap. This is a SEVERE mismatch — far beyond the ±10% comfort zone.</t>
  </si>
  <si>
    <t>RATIO 2: Cumulative Gap as % of Total Assets (THE KEY REGULATORY METRIC)</t>
  </si>
  <si>
    <t>= Cumulative Gap at Bucket ÷ Total Assets</t>
  </si>
  <si>
    <t>Shows the bank’s total accumulated mismatch as a share of balance sheet. THIS is what regulators watch most closely.</t>
  </si>
  <si>
    <t>Cumulative Gap ($)</t>
  </si>
  <si>
    <t>→ Cumul Gap / Total Assets</t>
  </si>
  <si>
    <t>At 3-12M, the cumulative gap hits -45% of total assets — a massive breach of the -15% limit. This mini bank is dangerously over-reliant on short-term funding. Your actual model shows -6.4% (PASS).</t>
  </si>
  <si>
    <t>RATIO 3: Gap as % of Total Outflows</t>
  </si>
  <si>
    <t>= Periodic Gap ÷ Total Liabilities Maturing in Bucket</t>
  </si>
  <si>
    <t>Shows what FRACTION of outflows in each bucket is uncovered by maturing assets. This tells you the severity of funding pressure in each specific period.</t>
  </si>
  <si>
    <t>Liabilities Maturing ($)</t>
  </si>
  <si>
    <t>→ Gap / Outflows</t>
  </si>
  <si>
    <t>0-3M: -71.4% means 71% of short-term outflows are UNCOVERED. For every $1 in maturing liabilities, only $0.29 in maturing assets. The bank must find external funding for the other $0.71. A healthy target is &gt; -30%.</t>
  </si>
  <si>
    <t>SUMMARY: ALL THREE RATIOS AT A GLANCE</t>
  </si>
  <si>
    <t>Ratio</t>
  </si>
  <si>
    <t>What it measures</t>
  </si>
  <si>
    <t>Mini Bank</t>
  </si>
  <si>
    <t>Your Model</t>
  </si>
  <si>
    <t>Verdict</t>
  </si>
  <si>
    <t>Gap / Total Assets (short-term)</t>
  </si>
  <si>
    <t>Size of mismatch vs. balance sheet</t>
  </si>
  <si>
    <t>❌ Mini / ✅ Model</t>
  </si>
  <si>
    <t>Cumul Gap / Total Assets (1Y)</t>
  </si>
  <si>
    <t>Accumulated mismatch over 1 year</t>
  </si>
  <si>
    <t>Gap / Outflows (short-term)</t>
  </si>
  <si>
    <t>% of outflows not covered by maturing assets</t>
  </si>
  <si>
    <t>See Liquidity Gap sheet</t>
  </si>
  <si>
    <t>&gt; -30%</t>
  </si>
  <si>
    <t>❌ Mini / varies</t>
  </si>
  <si>
    <t>ILLUSTRATION: RATE-SENSITIVE ASSETS (RSA) vs RATE-SENSITIVE LIABILITIES (RSL)</t>
  </si>
  <si>
    <t>RSA:</t>
  </si>
  <si>
    <t>Assets whose INTEREST INCOME will change when market rates change — either because they carry a floating rate (reprices periodically) or because they mature soon and will be reinvested at the new market rate.</t>
  </si>
  <si>
    <t>RSL:</t>
  </si>
  <si>
    <t>Liabilities whose INTEREST COST will change when rates change — same logic: floating rate or maturing soon and will be rolled at new rates.</t>
  </si>
  <si>
    <t>The Gap:</t>
  </si>
  <si>
    <t>Rate Gap = RSA – RSL. If POSITIVE → bank is ASSET-SENSITIVE (benefits from rising rates). If NEGATIVE → bank is LIABILITY-SENSITIVE (benefits from falling rates).</t>
  </si>
  <si>
    <t>STEP 1: HOW TO CLASSIFY — Which items are "rate-sensitive"?</t>
  </si>
  <si>
    <t>Item</t>
  </si>
  <si>
    <t>Rate Sensitive?</t>
  </si>
  <si>
    <t>Why?</t>
  </si>
  <si>
    <t>Classified by:</t>
  </si>
  <si>
    <t>Floating-Rate Loan @ SOFR+2%</t>
  </si>
  <si>
    <t>✅ YES</t>
  </si>
  <si>
    <t>Rate resets every quarter when SOFR changes</t>
  </si>
  <si>
    <t>REPRICING date (next reset)</t>
  </si>
  <si>
    <t>Fixed-Rate Loan @ 8.75%</t>
  </si>
  <si>
    <t>Rate is fixed, BUT when it matures, the proceeds are reinvested at the new market rate</t>
  </si>
  <si>
    <t>MATURITY date (when it matures)</t>
  </si>
  <si>
    <t>Demand Deposit (Savings Acct)</t>
  </si>
  <si>
    <t>Bank can change the rate at discretion in response to market</t>
  </si>
  <si>
    <t>BEHAVIORAL model (assumed run-off)</t>
  </si>
  <si>
    <t>Shareholders’ Equity</t>
  </si>
  <si>
    <t>❌ NO</t>
  </si>
  <si>
    <t>Has no interest cost — it’s permanent capital, not a borrowing</t>
  </si>
  <si>
    <t>N/A — excluded from RSL</t>
  </si>
  <si>
    <t>Fixed Assets (Buildings)</t>
  </si>
  <si>
    <t>Non-interest-bearing. A building doesn’t earn/pay interest</t>
  </si>
  <si>
    <t>N/A — excluded from RSA</t>
  </si>
  <si>
    <t>STEP 2: WORKED EXAMPLE — Mini Bank Rate Sensitivity</t>
  </si>
  <si>
    <t>RSA (within 1 year)</t>
  </si>
  <si>
    <t>Amount</t>
  </si>
  <si>
    <t>Interest Income</t>
  </si>
  <si>
    <t>Floating-Rate Loans (reprice quarterly)</t>
  </si>
  <si>
    <t>Maturing Fixed Bonds (due in 6M)</t>
  </si>
  <si>
    <t>Cash (overnight rate)</t>
  </si>
  <si>
    <t>→ TOTAL RSA</t>
  </si>
  <si>
    <t>RSL (within 1 year)</t>
  </si>
  <si>
    <t>Interest Expense</t>
  </si>
  <si>
    <t>Demand Deposits (discretionary repricing)</t>
  </si>
  <si>
    <t>Maturing Term Deposits (due in 9M)</t>
  </si>
  <si>
    <t>→ TOTAL RSL</t>
  </si>
  <si>
    <t>KEY METRICS:</t>
  </si>
  <si>
    <t>Rate Gap (RSA – RSL):</t>
  </si>
  <si>
    <t>← Positive = ASSET-SENSITIVE</t>
  </si>
  <si>
    <t>RSA / RSL Ratio:</t>
  </si>
  <si>
    <t>← Above 1.0x = more assets reprice than liabilities</t>
  </si>
  <si>
    <t>Base NII:</t>
  </si>
  <si>
    <t>← Interest Income – Interest Expense</t>
  </si>
  <si>
    <t>STEP 3: WHAT HAPPENS WHEN RATES CHANGE? (+100 bps = +1.00%)</t>
  </si>
  <si>
    <t>BASE CASE</t>
  </si>
  <si>
    <t>Change</t>
  </si>
  <si>
    <t>Logic</t>
  </si>
  <si>
    <t>Interest Income (RSA)</t>
  </si>
  <si>
    <t>All $550 in RSA earns 1% more → +$5.5 income</t>
  </si>
  <si>
    <t>Interest Expense (RSL)</t>
  </si>
  <si>
    <t>All $350 in RSL costs 1% more → +$3.5 expense</t>
  </si>
  <si>
    <t>→ NET INTEREST INCOME</t>
  </si>
  <si>
    <t>← NII INCREASED by $2.0 because RSA &gt; RSL</t>
  </si>
  <si>
    <t>Verify:</t>
  </si>
  <si>
    <t>ΔNII = Rate Gap × Rate Change</t>
  </si>
  <si>
    <t>← $200 gap × 1% = $2.0 ✔️</t>
  </si>
  <si>
    <t>THE TAKEAWAY</t>
  </si>
  <si>
    <t>Asset-Sensitive (RSA &gt; RSL):</t>
  </si>
  <si>
    <t>Rate ↑ → Income rises MORE than costs → NII INCREASES ✅   Rate ↓ → Income falls MORE than costs → NII DECREASES ❌</t>
  </si>
  <si>
    <t>Liability-Sensitive (RSL &gt; RSA):</t>
  </si>
  <si>
    <t>Rate ↑ → Costs rise MORE than income → NII DECREASES ❌   Rate ↓ → Costs fall MORE than income → NII INCREASES ✅</t>
  </si>
  <si>
    <t>RSA/RSL = 1.06x (slightly asset-sensitive). The bank’s NII benefits from rate increases. See ‘Rate Sensitivity Gap’ Row 22 and ‘Dashboard’ B9.</t>
  </si>
  <si>
    <t>ILLUSTRATION: FIXED RATE vs FLOATING RATE ANALYSIS</t>
  </si>
  <si>
    <t>CONCEPT: THE FIXED-FLOATING SPLIT DETERMINES HOW FAST YOUR INCOME/COST REACTS TO RATE CHANGES</t>
  </si>
  <si>
    <t>Feature</t>
  </si>
  <si>
    <t>FIXED RATE</t>
  </si>
  <si>
    <t>FLOATING RATE</t>
  </si>
  <si>
    <t>How rate is set</t>
  </si>
  <si>
    <t>Locked at origination for the full term (e.g., 8.75% for 5 years)</t>
  </si>
  <si>
    <t>Benchmark + spread, resets periodically (e.g., SOFR + 2%, resets quarterly)</t>
  </si>
  <si>
    <t>When does rate change?</t>
  </si>
  <si>
    <t>ONLY at maturity when the asset/liability is renewed at new market rate</t>
  </si>
  <si>
    <t>At each REPRICING DATE (monthly, quarterly, semi-annually) regardless of maturity</t>
  </si>
  <si>
    <t>Rate risk exposure</t>
  </si>
  <si>
    <t>LOW in near-term (rate locked) but HIGH at renewal (entire amount reprices at once)</t>
  </si>
  <si>
    <t>HIGH continuously (rate moves with market) but PREDICTABLE (spread is locked)</t>
  </si>
  <si>
    <t>Time bucket placement</t>
  </si>
  <si>
    <t>Placed in bucket matching CONTRACTUAL MATURITY → a 5-year fixed loan goes in "3-5Y" bucket</t>
  </si>
  <si>
    <t>Placed in bucket matching NEXT REPRICING DATE → a 20-year floating loan repricing quarterly goes in "29D-3M"</t>
  </si>
  <si>
    <t>Example</t>
  </si>
  <si>
    <t>$100 loan at 8.75% fixed for 3 years → earns $8.75/yr regardless of rate changes for 3 years</t>
  </si>
  <si>
    <t>$100 loan at SOFR+2% → if SOFR rises from 5% to 6%, income jumps from $7/yr to $8/yr in next quarter</t>
  </si>
  <si>
    <t>WORKED EXAMPLE: Two Identical $500 Loan Portfolios — Fixed vs Floating</t>
  </si>
  <si>
    <t>Setup:</t>
  </si>
  <si>
    <t>Both banks have $500 in loans funded by $400 in deposits (rate = 3%) + $100 equity. Only the LOAN TYPE differs.</t>
  </si>
  <si>
    <t>BANK A: 100% Fixed</t>
  </si>
  <si>
    <t>BANK B: 100% Floating</t>
  </si>
  <si>
    <t>BANK C: 50/50 Mix</t>
  </si>
  <si>
    <t>Loan Rate (initial)</t>
  </si>
  <si>
    <t>8.00% fixed (5-year)</t>
  </si>
  <si>
    <t>SOFR+2% = 7.00%</t>
  </si>
  <si>
    <t>8.00% fixed / 7.00% float</t>
  </si>
  <si>
    <t>Deposit Rate</t>
  </si>
  <si>
    <t>SCENARIO: Market rates RISE +200 bps (+2.00%)</t>
  </si>
  <si>
    <t>Bank A (Fixed)</t>
  </si>
  <si>
    <t>Bank B (Floating)</t>
  </si>
  <si>
    <t>Bank C (50/50)</t>
  </si>
  <si>
    <t>Loan Income (before)</t>
  </si>
  <si>
    <t>Loan Income (after +200bps)</t>
  </si>
  <si>
    <t>Fixed stays at 8%; Floating reprices to 9%</t>
  </si>
  <si>
    <t>Deposit Cost (after, assume +100bps pass-through)</t>
  </si>
  <si>
    <t>Deposits reprice from 3% to 4% (partial pass-through)</t>
  </si>
  <si>
    <t>→ NEW NII</t>
  </si>
  <si>
    <t>Original NII</t>
  </si>
  <si>
    <t>Δ NII (Change)</t>
  </si>
  <si>
    <t>INTERPRETATION</t>
  </si>
  <si>
    <t>Bank A (100% Fixed):</t>
  </si>
  <si>
    <t>NII DECREASED by $4 when rates rose. Why? The fixed loan rate (8%) cannot increase, but deposit costs rose from 3% to 4%. The bank’s income is LOCKED while its costs are rising. Fixed-rate assets act like a LIABILITY-SENSITIVE position.</t>
  </si>
  <si>
    <t>Bank B (100% Floating):</t>
  </si>
  <si>
    <t>NII INCREASED by $6 when rates rose. Why? Floating loans repriced from 7% to 9% (+$10 income), while deposits only rose from 3% to 4% (+$4 cost). The ASYMMETRIC repricing creates a net benefit. More floating assets = more asset-sensitivity.</t>
  </si>
  <si>
    <t>Bank C (50/50 Mix):</t>
  </si>
  <si>
    <t>NII INCREASED by $1 — a moderate benefit. The floating half captured the rate increase while the fixed half provided stability. This is the most common real-world approach: banks maintain a MIX to balance rate sensitivity and earnings stability.</t>
  </si>
  <si>
    <t>KEY TAKEAWAYS</t>
  </si>
  <si>
    <t>1. The fixed/floating MIX directly determines rate sensitivity</t>
  </si>
  <si>
    <t>More floating assets → faster repricing → more sensitive to rate changes. More fixed assets → slower repricing → earnings more stable but miss opportunities.</t>
  </si>
  <si>
    <t>2. It’s about ASYMMETRY between asset and liability repricing</t>
  </si>
  <si>
    <t>The risk isn’t that rates change — it’s that assets and liabilities reprice at DIFFERENT speeds. If both sides were 100% floating, NII would barely move.</t>
  </si>
  <si>
    <t>3. Banks use swaps to manage the mix synthetically</t>
  </si>
  <si>
    <t>Rather than originating only one type, banks can use Interest Rate Swaps to convert fixed to floating (or vice versa). Pay-fixed/receive-floating swap converts a floating asset into a synthetic fixed asset.</t>
  </si>
  <si>
    <t>Assets: $28B floating + $27B fixed (roughly 50/50). Liabilities: CASA (discretionary) + term deposits (fixed) + borrowings (floating). The net result is slightly asset-sensitive (RSA/RSL = 1.06x). See ‘Assumptions’ B26:B30 for rate details and ‘Rate Sensitivity Gap’ for the full repricing profile.</t>
  </si>
  <si>
    <t>ILLUSTRATION: NET INTEREST INCOME (NII) &amp; NET INTEREST MARGIN (NIM)</t>
  </si>
  <si>
    <t>KEY DEFINITIONS</t>
  </si>
  <si>
    <t>NII:</t>
  </si>
  <si>
    <t>Net Interest Income = Total Interest Income – Total Interest Expense. This is the bank’s PRIMARY revenue driver (typically 60-80% of total income). It represents the “spread” the bank earns between what it charges borrowers and what it pays depositors.</t>
  </si>
  <si>
    <t>NIM:</t>
  </si>
  <si>
    <t>Net Interest Margin = NII ÷ Total Interest-Earning Assets. Expressed as a percentage, it measures the efficiency of the bank’s interest-earning operations. It is the single most-watched profitability metric for banks.</t>
  </si>
  <si>
    <t>NII at Risk:</t>
  </si>
  <si>
    <t>The potential CHANGE in NII under a hypothetical interest rate shock. This is the earnings-based measure of interest rate risk. Formula: ΔNII = Cumulative 1-Year Rate Gap × Rate Change (bps/10000).</t>
  </si>
  <si>
    <t>STEP 1: CALCULATE BASE NII (Mini Bank Example, $1,000 Total Assets)</t>
  </si>
  <si>
    <t>INTEREST-EARNING ASSETS</t>
  </si>
  <si>
    <t>Balance ($)</t>
  </si>
  <si>
    <t>Rate</t>
  </si>
  <si>
    <t>Annual Interest</t>
  </si>
  <si>
    <t>Calculation</t>
  </si>
  <si>
    <t>Cash &amp; Central Bank Balances</t>
  </si>
  <si>
    <t>$100 × 4.00% = $4.0</t>
  </si>
  <si>
    <t>$200 × 6.50% = $13.0</t>
  </si>
  <si>
    <t>$600 × 8.50% = $51.0</t>
  </si>
  <si>
    <t>$50 × 5.50% = $2.8</t>
  </si>
  <si>
    <t>(Non-earning: Fixed Assets $50, not included)</t>
  </si>
  <si>
    <t>→ TOTAL INTEREST INCOME</t>
  </si>
  <si>
    <t>Weighted avg asset yield = 7.44%</t>
  </si>
  <si>
    <t>INTEREST-BEARING LIABILITIES</t>
  </si>
  <si>
    <t>$300 × 3.50% = $10.5</t>
  </si>
  <si>
    <t>$350 × 6.50% = $22.8</t>
  </si>
  <si>
    <t>Interbank Borrowings</t>
  </si>
  <si>
    <t>$150 × 5.80% = $8.7</t>
  </si>
  <si>
    <t>(Non-bearing: Equity $200, not included)</t>
  </si>
  <si>
    <t>→ TOTAL INTEREST EXPENSE</t>
  </si>
  <si>
    <t>Weighted avg funding cost = 5.25%</t>
  </si>
  <si>
    <t>STEP 2: CALCULATE NII AND NIM</t>
  </si>
  <si>
    <t>Formula</t>
  </si>
  <si>
    <t>Result</t>
  </si>
  <si>
    <t>Meaning</t>
  </si>
  <si>
    <t>Net Interest Income (NII)</t>
  </si>
  <si>
    <t>Interest Income – Interest Expense</t>
  </si>
  <si>
    <t>$70.8 – $42.0</t>
  </si>
  <si>
    <t>The bank earns $28.8 in NET interest annually after paying all depositors and lenders.</t>
  </si>
  <si>
    <t>NII ÷ Interest-Earning Assets</t>
  </si>
  <si>
    <t>$28.8 ÷ $950</t>
  </si>
  <si>
    <t>For every $100 in earning assets, the bank earns $3.03 in net interest.</t>
  </si>
  <si>
    <t>Spread (Asset Yield – Funding Cost)</t>
  </si>
  <si>
    <t>Avg Asset Yield – Avg Funding Cost</t>
  </si>
  <si>
    <t>7.45% – 5.24%</t>
  </si>
  <si>
    <t>The raw interest spread. NIM differs from spread because non-interest-bearing equity "subsidizes" the funding cost.</t>
  </si>
  <si>
    <t>WHY NIM ≠ SPREAD (The Equity Effect)</t>
  </si>
  <si>
    <t>NIM (3.03%) is HIGHER than the raw Spread (2.20%). Why?</t>
  </si>
  <si>
    <t>Because Equity ($200) funds part of the asset base at ZERO cost. The bank has $950 in earning assets but only $800 in interest-bearing liabilities. The $150 funded by equity ($200 equity - $50 non-earning fixed assets) earns interest income but costs nothing. This "free funding" boosts NIM above the raw spread.</t>
  </si>
  <si>
    <t>Think of it this way:</t>
  </si>
  <si>
    <t>If the bank had NO equity and funded everything with deposits, NIM would equal the spread. Equity is like having a silent partner who provides free money — the more equity, the higher NIM relative to spread.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</si>
</sst>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dd\-mmm\-yyyy"/>
    <numFmt numFmtId="165" formatCode="&quot;₹&quot;#,##0"/>
    <numFmt numFmtId="166" formatCode="0.0%"/>
    <numFmt numFmtId="167" formatCode="&quot;₹&quot;#,##0;\(&quot;₹&quot;#,##0\);&quot;-&quot;"/>
    <numFmt numFmtId="168" formatCode="0.0%;\(0.0%\);&quot;-&quot;"/>
    <numFmt numFmtId="169" formatCode="0.00\x"/>
    <numFmt numFmtId="170" formatCode="0.000"/>
    <numFmt numFmtId="174" formatCode="0.0"/>
    <numFmt numFmtId="175" formatCode="&quot;₹&quot;#,##0.0"/>
    <numFmt numFmtId="176" formatCode="0.00&quot;x&quot;"/>
    <numFmt numFmtId="177" formatCode="\+&quot;₹&quot;#,##0.0;\-&quot;₹&quot;#,##0.0;&quot;-&quot;"/>
  </numFmts>
  <fonts count="29" x14ac:knownFonts="1">
    <font>
      <sz val="12"/>
      <color theme="1"/>
      <name val="Aptos Narrow"/>
      <family val="2"/>
      <scheme val="minor"/>
    </font>
    <font>
      <b/>
      <sz val="12"/>
      <color theme="1"/>
      <name val="Aptos Narrow"/>
      <family val="2"/>
      <scheme val="minor"/>
    </font>
    <font>
      <b/>
      <sz val="12"/>
      <color rgb="FFFFFFFF"/>
      <name val="Aptos Narrow"/>
      <family val="2"/>
      <scheme val="minor"/>
    </font>
    <font>
      <b/>
      <sz val="12"/>
      <color rgb="FF1F4E79"/>
      <name val="Aptos Narrow"/>
      <family val="2"/>
      <scheme val="minor"/>
    </font>
    <font>
      <b/>
      <sz val="22"/>
      <color rgb="FF1F4E79"/>
      <name val="Aptos Narrow"/>
      <family val="2"/>
      <scheme val="minor"/>
    </font>
    <font>
      <sz val="22"/>
      <color theme="1"/>
      <name val="Aptos Narrow"/>
      <family val="2"/>
      <scheme val="minor"/>
    </font>
    <font>
      <b/>
      <sz val="22"/>
      <color theme="1"/>
      <name val="Aptos Narrow"/>
      <family val="2"/>
      <scheme val="minor"/>
    </font>
    <font>
      <sz val="22"/>
      <color rgb="FF0000FF"/>
      <name val="Aptos Narrow"/>
      <family val="2"/>
      <scheme val="minor"/>
    </font>
    <font>
      <b/>
      <sz val="22"/>
      <color rgb="FFFFFFFF"/>
      <name val="Aptos Narrow"/>
      <family val="2"/>
      <scheme val="minor"/>
    </font>
    <font>
      <b/>
      <sz val="22"/>
      <color rgb="FF000000"/>
      <name val="Aptos Narrow"/>
      <family val="2"/>
      <scheme val="minor"/>
    </font>
    <font>
      <sz val="22"/>
      <color rgb="FF000000"/>
      <name val="Aptos Narrow"/>
      <family val="2"/>
      <scheme val="minor"/>
    </font>
    <font>
      <b/>
      <sz val="11"/>
      <color rgb="FFFFFFFF"/>
      <name val="Aptos Narrow"/>
      <family val="2"/>
      <scheme val="minor"/>
    </font>
    <font>
      <b/>
      <sz val="11"/>
      <color theme="1"/>
      <name val="Aptos Narrow"/>
      <family val="2"/>
      <scheme val="minor"/>
    </font>
    <font>
      <i/>
      <sz val="22"/>
      <color rgb="FF808080"/>
      <name val="Aptos Narrow"/>
      <family val="2"/>
      <scheme val="minor"/>
    </font>
    <font>
      <b/>
      <sz val="22"/>
      <color rgb="FF008000"/>
      <name val="Aptos Narrow"/>
      <family val="2"/>
      <scheme val="minor"/>
    </font>
    <font>
      <b/>
      <sz val="22"/>
      <color rgb="FFFF0000"/>
      <name val="Aptos Narrow"/>
      <family val="2"/>
      <scheme val="minor"/>
    </font>
    <font>
      <sz val="10"/>
      <color rgb="FF000000"/>
      <name val="Tahoma"/>
      <family val="2"/>
    </font>
    <font>
      <b/>
      <sz val="10"/>
      <color rgb="FF000000"/>
      <name val="Tahoma"/>
      <family val="2"/>
    </font>
    <font>
      <sz val="22"/>
      <color rgb="FF808080"/>
      <name val="Aptos Narrow"/>
      <family val="2"/>
      <scheme val="minor"/>
    </font>
    <font>
      <sz val="22"/>
      <color rgb="FF2E75B6"/>
      <name val="Aptos Narrow"/>
      <family val="2"/>
      <scheme val="minor"/>
    </font>
    <font>
      <b/>
      <sz val="22"/>
      <color rgb="FF2E75B6"/>
      <name val="Aptos Narrow"/>
      <family val="2"/>
      <scheme val="minor"/>
    </font>
    <font>
      <sz val="22"/>
      <color rgb="FFC0504D"/>
      <name val="Aptos Narrow"/>
      <family val="2"/>
      <scheme val="minor"/>
    </font>
    <font>
      <b/>
      <sz val="22"/>
      <color rgb="FFC0504D"/>
      <name val="Aptos Narrow"/>
      <family val="2"/>
      <scheme val="minor"/>
    </font>
    <font>
      <b/>
      <sz val="22"/>
      <color rgb="FF4472C4"/>
      <name val="Aptos Narrow"/>
      <family val="2"/>
      <scheme val="minor"/>
    </font>
    <font>
      <b/>
      <sz val="22"/>
      <color rgb="FFFF8C00"/>
      <name val="Aptos Narrow"/>
      <family val="2"/>
      <scheme val="minor"/>
    </font>
    <font>
      <sz val="22"/>
      <color rgb="FF333333"/>
      <name val="Aptos Narrow"/>
      <family val="2"/>
      <scheme val="minor"/>
    </font>
    <font>
      <b/>
      <sz val="13"/>
      <color rgb="FFFFFFFF"/>
      <name val="Aptos Narrow"/>
      <family val="2"/>
      <scheme val="minor"/>
    </font>
    <font>
      <b/>
      <sz val="11"/>
      <color rgb="FF1F4E79"/>
      <name val="Aptos Narrow"/>
      <family val="2"/>
      <scheme val="minor"/>
    </font>
    <font>
      <b/>
      <sz val="22"/>
      <color rgb="FF808080"/>
      <name val="Aptos Narrow"/>
      <family val="2"/>
      <scheme val="minor"/>
    </font>
  </fonts>
  <fills count="17">
    <fill>
      <patternFill patternType="none"/>
    </fill>
    <fill>
      <patternFill patternType="gray125"/>
    </fill>
    <fill>
      <patternFill patternType="solid">
        <fgColor rgb="FF1F4E79"/>
        <bgColor indexed="64"/>
      </patternFill>
    </fill>
    <fill>
      <patternFill patternType="solid">
        <fgColor rgb="FFD6E4F0"/>
        <bgColor indexed="64"/>
      </patternFill>
    </fill>
    <fill>
      <patternFill patternType="solid">
        <fgColor rgb="FFF2F7FB"/>
        <bgColor indexed="64"/>
      </patternFill>
    </fill>
    <fill>
      <patternFill patternType="solid">
        <fgColor rgb="FF8B0000"/>
        <bgColor indexed="64"/>
      </patternFill>
    </fill>
    <fill>
      <patternFill patternType="solid">
        <fgColor rgb="FFFFF2F2"/>
        <bgColor indexed="64"/>
      </patternFill>
    </fill>
    <fill>
      <patternFill patternType="solid">
        <fgColor rgb="FFF2DCDB"/>
        <bgColor indexed="64"/>
      </patternFill>
    </fill>
    <fill>
      <patternFill patternType="solid">
        <fgColor rgb="FF2E75B6"/>
        <bgColor indexed="64"/>
      </patternFill>
    </fill>
    <fill>
      <patternFill patternType="solid">
        <fgColor rgb="FFEBF1FA"/>
        <bgColor indexed="64"/>
      </patternFill>
    </fill>
    <fill>
      <patternFill patternType="solid">
        <fgColor rgb="FFBDD7EE"/>
        <bgColor indexed="64"/>
      </patternFill>
    </fill>
    <fill>
      <patternFill patternType="solid">
        <fgColor rgb="FFC0504D"/>
        <bgColor indexed="64"/>
      </patternFill>
    </fill>
    <fill>
      <patternFill patternType="solid">
        <fgColor rgb="FF4472C4"/>
        <bgColor indexed="64"/>
      </patternFill>
    </fill>
    <fill>
      <patternFill patternType="solid">
        <fgColor rgb="FFFFFF00"/>
        <bgColor indexed="64"/>
      </patternFill>
    </fill>
    <fill>
      <patternFill patternType="solid">
        <fgColor rgb="FFFFFFFF"/>
        <bgColor indexed="64"/>
      </patternFill>
    </fill>
    <fill>
      <patternFill patternType="solid">
        <fgColor rgb="FFE6B8B7"/>
        <bgColor indexed="64"/>
      </patternFill>
    </fill>
    <fill>
      <patternFill patternType="solid">
        <fgColor rgb="FFDAEEF3"/>
        <bgColor indexed="64"/>
      </patternFill>
    </fill>
  </fills>
  <borders count="24">
    <border>
      <left/>
      <right/>
      <top/>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right/>
      <top style="medium">
        <color rgb="FFD9D9D9"/>
      </top>
      <bottom style="double">
        <color rgb="FFD9D9D9"/>
      </bottom>
      <diagonal/>
    </border>
    <border>
      <left/>
      <right/>
      <top style="medium">
        <color rgb="FFD9D9D9"/>
      </top>
      <bottom style="double">
        <color auto="1"/>
      </bottom>
      <diagonal/>
    </border>
    <border>
      <left/>
      <right/>
      <top style="medium">
        <color auto="1"/>
      </top>
      <bottom style="double">
        <color auto="1"/>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auto="1"/>
      </bottom>
      <diagonal/>
    </border>
    <border>
      <left style="thin">
        <color rgb="FFD9D9D9"/>
      </left>
      <right style="thin">
        <color rgb="FFD9D9D9"/>
      </right>
      <top style="thin">
        <color rgb="FFD9D9D9"/>
      </top>
      <bottom style="thin">
        <color auto="1"/>
      </bottom>
      <diagonal/>
    </border>
    <border>
      <left style="thin">
        <color rgb="FFD9D9D9"/>
      </left>
      <right/>
      <top style="thin">
        <color rgb="FFD9D9D9"/>
      </top>
      <bottom style="thin">
        <color auto="1"/>
      </bottom>
      <diagonal/>
    </border>
    <border>
      <left style="thin">
        <color rgb="FFD9D9D9"/>
      </left>
      <right style="thin">
        <color rgb="FFD9D9D9"/>
      </right>
      <top style="thin">
        <color auto="1"/>
      </top>
      <bottom style="thin">
        <color rgb="FFD9D9D9"/>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auto="1"/>
      </right>
      <top style="thin">
        <color auto="1"/>
      </top>
      <bottom style="thin">
        <color rgb="FFD9D9D9"/>
      </bottom>
      <diagonal/>
    </border>
    <border>
      <left style="thin">
        <color rgb="FFD9D9D9"/>
      </left>
      <right style="thin">
        <color auto="1"/>
      </right>
      <top style="thin">
        <color rgb="FFD9D9D9"/>
      </top>
      <bottom style="thin">
        <color rgb="FFD9D9D9"/>
      </bottom>
      <diagonal/>
    </border>
    <border>
      <left style="thin">
        <color rgb="FFD9D9D9"/>
      </left>
      <right style="thin">
        <color auto="1"/>
      </right>
      <top style="thin">
        <color rgb="FFD9D9D9"/>
      </top>
      <bottom style="thin">
        <color auto="1"/>
      </bottom>
      <diagonal/>
    </border>
    <border>
      <left/>
      <right/>
      <top style="thin">
        <color rgb="FFD9D9D9"/>
      </top>
      <bottom style="thin">
        <color auto="1"/>
      </bottom>
      <diagonal/>
    </border>
  </borders>
  <cellStyleXfs count="1">
    <xf numFmtId="0" fontId="0" fillId="0" borderId="0"/>
  </cellStyleXfs>
  <cellXfs count="292">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164" fontId="7" fillId="0" borderId="0" xfId="0" applyNumberFormat="1" applyFont="1"/>
    <xf numFmtId="0" fontId="8" fillId="2" borderId="0" xfId="0" applyFont="1" applyFill="1"/>
    <xf numFmtId="0" fontId="5" fillId="2" borderId="0" xfId="0" applyFont="1" applyFill="1"/>
    <xf numFmtId="166" fontId="5" fillId="0" borderId="0" xfId="0" applyNumberFormat="1" applyFont="1"/>
    <xf numFmtId="166" fontId="6" fillId="0" borderId="0" xfId="0" applyNumberFormat="1" applyFont="1"/>
    <xf numFmtId="0" fontId="9" fillId="2" borderId="0" xfId="0" applyFont="1" applyFill="1"/>
    <xf numFmtId="0" fontId="6" fillId="3" borderId="0" xfId="0" applyFont="1" applyFill="1"/>
    <xf numFmtId="0" fontId="6" fillId="3" borderId="0" xfId="0" applyFont="1" applyFill="1" applyAlignment="1">
      <alignment horizontal="center"/>
    </xf>
    <xf numFmtId="0" fontId="7" fillId="0" borderId="0" xfId="0" applyFont="1" applyAlignment="1">
      <alignment horizontal="center"/>
    </xf>
    <xf numFmtId="10" fontId="5" fillId="0" borderId="0" xfId="0" applyNumberFormat="1" applyFont="1"/>
    <xf numFmtId="0" fontId="6" fillId="0" borderId="1" xfId="0" applyFont="1" applyBorder="1"/>
    <xf numFmtId="0" fontId="6" fillId="0" borderId="1" xfId="0" applyFont="1" applyBorder="1" applyAlignment="1">
      <alignment horizontal="center"/>
    </xf>
    <xf numFmtId="0" fontId="9" fillId="0" borderId="2" xfId="0" applyFont="1" applyBorder="1"/>
    <xf numFmtId="166" fontId="5" fillId="0" borderId="2" xfId="0" applyNumberFormat="1" applyFont="1" applyBorder="1"/>
    <xf numFmtId="0" fontId="10" fillId="0" borderId="2" xfId="0" applyFont="1" applyBorder="1"/>
    <xf numFmtId="166" fontId="6" fillId="0" borderId="2" xfId="0" applyNumberFormat="1" applyFont="1" applyBorder="1"/>
    <xf numFmtId="0" fontId="5" fillId="0" borderId="2" xfId="0" applyFont="1" applyBorder="1"/>
    <xf numFmtId="166" fontId="9" fillId="0" borderId="2" xfId="0" applyNumberFormat="1" applyFont="1" applyBorder="1"/>
    <xf numFmtId="166" fontId="10" fillId="0" borderId="2" xfId="0" applyNumberFormat="1" applyFont="1" applyBorder="1"/>
    <xf numFmtId="0" fontId="6" fillId="3" borderId="1" xfId="0" applyFont="1" applyFill="1" applyBorder="1"/>
    <xf numFmtId="0" fontId="6" fillId="3" borderId="1" xfId="0" applyFont="1" applyFill="1" applyBorder="1" applyAlignment="1">
      <alignment horizontal="center"/>
    </xf>
    <xf numFmtId="0" fontId="9" fillId="3" borderId="1" xfId="0" applyFont="1" applyFill="1" applyBorder="1" applyAlignment="1">
      <alignment horizontal="center"/>
    </xf>
    <xf numFmtId="0" fontId="4" fillId="0" borderId="2" xfId="0" applyFont="1" applyBorder="1"/>
    <xf numFmtId="10" fontId="7" fillId="0" borderId="2" xfId="0" applyNumberFormat="1" applyFont="1" applyBorder="1"/>
    <xf numFmtId="0" fontId="5" fillId="0" borderId="3" xfId="0" applyFont="1" applyBorder="1"/>
    <xf numFmtId="10" fontId="7" fillId="0" borderId="3" xfId="0" applyNumberFormat="1" applyFont="1" applyBorder="1"/>
    <xf numFmtId="0" fontId="10" fillId="0" borderId="3" xfId="0" applyFont="1" applyBorder="1"/>
    <xf numFmtId="166" fontId="6" fillId="0" borderId="3" xfId="0" applyNumberFormat="1" applyFont="1" applyBorder="1"/>
    <xf numFmtId="0" fontId="5" fillId="0" borderId="1" xfId="0" applyFont="1" applyBorder="1"/>
    <xf numFmtId="0" fontId="9" fillId="0" borderId="4" xfId="0" applyFont="1" applyBorder="1"/>
    <xf numFmtId="166" fontId="6" fillId="0" borderId="4" xfId="0" applyNumberFormat="1" applyFont="1" applyBorder="1"/>
    <xf numFmtId="166" fontId="10" fillId="0" borderId="3" xfId="0" applyNumberFormat="1" applyFont="1" applyBorder="1"/>
    <xf numFmtId="0" fontId="9" fillId="0" borderId="5" xfId="0" applyFont="1" applyBorder="1"/>
    <xf numFmtId="166" fontId="9" fillId="0" borderId="5" xfId="0" applyNumberFormat="1" applyFont="1" applyBorder="1"/>
    <xf numFmtId="0" fontId="13" fillId="0" borderId="0" xfId="0" applyFont="1"/>
    <xf numFmtId="164" fontId="13" fillId="0" borderId="0" xfId="0" applyNumberFormat="1" applyFont="1"/>
    <xf numFmtId="0" fontId="8" fillId="2" borderId="0" xfId="0" applyFont="1" applyFill="1" applyAlignment="1">
      <alignment horizontal="center"/>
    </xf>
    <xf numFmtId="0" fontId="5" fillId="4" borderId="0" xfId="0" applyFont="1" applyFill="1"/>
    <xf numFmtId="0" fontId="8" fillId="5" borderId="0" xfId="0" applyFont="1" applyFill="1"/>
    <xf numFmtId="0" fontId="8" fillId="5" borderId="0" xfId="0" applyFont="1" applyFill="1" applyAlignment="1">
      <alignment horizontal="center"/>
    </xf>
    <xf numFmtId="0" fontId="5" fillId="6" borderId="0" xfId="0" applyFont="1" applyFill="1"/>
    <xf numFmtId="167" fontId="5" fillId="0" borderId="0" xfId="0" applyNumberFormat="1" applyFont="1"/>
    <xf numFmtId="168" fontId="6" fillId="0" borderId="0" xfId="0" applyNumberFormat="1" applyFont="1"/>
    <xf numFmtId="0" fontId="6" fillId="3" borderId="6" xfId="0" applyFont="1" applyFill="1" applyBorder="1"/>
    <xf numFmtId="0" fontId="6" fillId="7" borderId="6" xfId="0" applyFont="1" applyFill="1" applyBorder="1"/>
    <xf numFmtId="0" fontId="8" fillId="8" borderId="0" xfId="0" applyFont="1" applyFill="1"/>
    <xf numFmtId="0" fontId="8" fillId="8" borderId="0" xfId="0" applyFont="1" applyFill="1" applyAlignment="1">
      <alignment horizontal="center"/>
    </xf>
    <xf numFmtId="0" fontId="5" fillId="9" borderId="0" xfId="0" applyFont="1" applyFill="1"/>
    <xf numFmtId="0" fontId="6" fillId="10" borderId="0" xfId="0" applyFont="1" applyFill="1"/>
    <xf numFmtId="0" fontId="5" fillId="9" borderId="0" xfId="0" applyFont="1" applyFill="1" applyAlignment="1"/>
    <xf numFmtId="0" fontId="5" fillId="0" borderId="0" xfId="0" applyFont="1" applyAlignment="1"/>
    <xf numFmtId="0" fontId="8" fillId="11" borderId="0" xfId="0" applyFont="1" applyFill="1"/>
    <xf numFmtId="0" fontId="8" fillId="11" borderId="0" xfId="0" applyFont="1" applyFill="1" applyAlignment="1">
      <alignment horizontal="center"/>
    </xf>
    <xf numFmtId="0" fontId="11" fillId="12" borderId="0" xfId="0" applyFont="1" applyFill="1"/>
    <xf numFmtId="169" fontId="6" fillId="0" borderId="0" xfId="0" applyNumberFormat="1" applyFont="1"/>
    <xf numFmtId="0" fontId="8" fillId="12" borderId="0" xfId="0" applyFont="1" applyFill="1"/>
    <xf numFmtId="0" fontId="8" fillId="12" borderId="0" xfId="0" applyFont="1" applyFill="1" applyAlignment="1">
      <alignment horizontal="center"/>
    </xf>
    <xf numFmtId="0" fontId="5" fillId="12" borderId="0" xfId="0" applyFont="1" applyFill="1"/>
    <xf numFmtId="0" fontId="5" fillId="3" borderId="0" xfId="0" applyFont="1" applyFill="1"/>
    <xf numFmtId="165" fontId="4" fillId="0" borderId="0" xfId="0" applyNumberFormat="1" applyFont="1"/>
    <xf numFmtId="0" fontId="6" fillId="13" borderId="0" xfId="0" applyFont="1" applyFill="1"/>
    <xf numFmtId="0" fontId="5" fillId="13" borderId="0" xfId="0" applyFont="1" applyFill="1"/>
    <xf numFmtId="167" fontId="5" fillId="13" borderId="0" xfId="0" applyNumberFormat="1" applyFont="1" applyFill="1"/>
    <xf numFmtId="166" fontId="5" fillId="13" borderId="0" xfId="0" applyNumberFormat="1" applyFont="1" applyFill="1"/>
    <xf numFmtId="170" fontId="5" fillId="14" borderId="0" xfId="0" applyNumberFormat="1" applyFont="1" applyFill="1" applyAlignment="1">
      <alignment horizontal="center"/>
    </xf>
    <xf numFmtId="0" fontId="6" fillId="10" borderId="6" xfId="0" applyFont="1" applyFill="1" applyBorder="1"/>
    <xf numFmtId="0" fontId="6" fillId="3" borderId="0" xfId="0" applyFont="1" applyFill="1" applyAlignment="1">
      <alignment horizontal="center" wrapText="1"/>
    </xf>
    <xf numFmtId="0" fontId="2" fillId="8" borderId="0" xfId="0" applyFont="1" applyFill="1"/>
    <xf numFmtId="0" fontId="6" fillId="0" borderId="0" xfId="0" applyFont="1" applyAlignment="1">
      <alignment horizontal="right"/>
    </xf>
    <xf numFmtId="164" fontId="4" fillId="0" borderId="0" xfId="0" applyNumberFormat="1" applyFont="1"/>
    <xf numFmtId="0" fontId="5" fillId="8" borderId="0" xfId="0" applyFont="1" applyFill="1"/>
    <xf numFmtId="0" fontId="18" fillId="0" borderId="0" xfId="0" applyFont="1"/>
    <xf numFmtId="0" fontId="20" fillId="0" borderId="0" xfId="0" applyFont="1"/>
    <xf numFmtId="0" fontId="22" fillId="0" borderId="0" xfId="0" applyFont="1"/>
    <xf numFmtId="0" fontId="23" fillId="0" borderId="0" xfId="0" applyFont="1"/>
    <xf numFmtId="0" fontId="24" fillId="0" borderId="0" xfId="0" applyFont="1"/>
    <xf numFmtId="0" fontId="4" fillId="0" borderId="0" xfId="0" applyFont="1" applyAlignment="1">
      <alignment wrapText="1"/>
    </xf>
    <xf numFmtId="0" fontId="25" fillId="0" borderId="0" xfId="0" applyFont="1" applyAlignment="1">
      <alignment wrapText="1"/>
    </xf>
    <xf numFmtId="0" fontId="5" fillId="0" borderId="0" xfId="0" applyFont="1" applyAlignment="1">
      <alignment wrapText="1"/>
    </xf>
    <xf numFmtId="0" fontId="8" fillId="2" borderId="0" xfId="0" applyFont="1" applyFill="1"/>
    <xf numFmtId="0" fontId="8" fillId="2" borderId="0" xfId="0" applyFont="1" applyFill="1" applyAlignment="1">
      <alignment horizontal="center"/>
    </xf>
    <xf numFmtId="165" fontId="5" fillId="0" borderId="2" xfId="0" applyNumberFormat="1" applyFont="1" applyBorder="1" applyAlignment="1">
      <alignment horizontal="center"/>
    </xf>
    <xf numFmtId="0" fontId="6" fillId="3" borderId="7" xfId="0" applyFont="1" applyFill="1" applyBorder="1"/>
    <xf numFmtId="0" fontId="6" fillId="3" borderId="8" xfId="0" applyFont="1" applyFill="1" applyBorder="1" applyAlignment="1">
      <alignment horizontal="center"/>
    </xf>
    <xf numFmtId="0" fontId="6" fillId="3" borderId="9" xfId="0" applyFont="1" applyFill="1" applyBorder="1" applyAlignment="1">
      <alignment horizontal="center"/>
    </xf>
    <xf numFmtId="0" fontId="5" fillId="0" borderId="10" xfId="0" applyFont="1" applyBorder="1"/>
    <xf numFmtId="165" fontId="5" fillId="0" borderId="11" xfId="0" applyNumberFormat="1" applyFont="1" applyBorder="1" applyAlignment="1">
      <alignment horizontal="center"/>
    </xf>
    <xf numFmtId="0" fontId="5" fillId="0" borderId="11" xfId="0" applyFont="1" applyBorder="1" applyAlignment="1">
      <alignment horizontal="center"/>
    </xf>
    <xf numFmtId="166" fontId="5" fillId="0" borderId="11" xfId="0" applyNumberFormat="1" applyFont="1" applyBorder="1" applyAlignment="1">
      <alignment horizontal="center"/>
    </xf>
    <xf numFmtId="0" fontId="18" fillId="0" borderId="11" xfId="0" applyFont="1" applyBorder="1" applyAlignment="1">
      <alignment horizontal="center"/>
    </xf>
    <xf numFmtId="0" fontId="6" fillId="0" borderId="11" xfId="0" applyFont="1" applyBorder="1" applyAlignment="1">
      <alignment horizontal="center"/>
    </xf>
    <xf numFmtId="0" fontId="5" fillId="0" borderId="12" xfId="0" applyFont="1" applyBorder="1" applyAlignment="1">
      <alignment horizontal="center"/>
    </xf>
    <xf numFmtId="169" fontId="5" fillId="0" borderId="11" xfId="0" applyNumberFormat="1" applyFont="1" applyBorder="1" applyAlignment="1">
      <alignment horizontal="center"/>
    </xf>
    <xf numFmtId="0" fontId="5" fillId="0" borderId="11" xfId="0" applyFont="1" applyBorder="1"/>
    <xf numFmtId="0" fontId="5" fillId="0" borderId="13" xfId="0" applyFont="1" applyBorder="1"/>
    <xf numFmtId="10" fontId="5" fillId="0" borderId="14" xfId="0" applyNumberFormat="1" applyFont="1" applyBorder="1" applyAlignment="1">
      <alignment horizontal="center"/>
    </xf>
    <xf numFmtId="0" fontId="18" fillId="0" borderId="14" xfId="0" applyFont="1" applyBorder="1" applyAlignment="1">
      <alignment horizontal="center"/>
    </xf>
    <xf numFmtId="0" fontId="6" fillId="0" borderId="14" xfId="0" applyFont="1" applyBorder="1" applyAlignment="1">
      <alignment horizontal="center"/>
    </xf>
    <xf numFmtId="0" fontId="5" fillId="0" borderId="15" xfId="0" applyFont="1" applyBorder="1" applyAlignment="1">
      <alignment horizontal="center"/>
    </xf>
    <xf numFmtId="0" fontId="6" fillId="3" borderId="16" xfId="0" applyFont="1" applyFill="1" applyBorder="1" applyAlignment="1">
      <alignment horizontal="center"/>
    </xf>
    <xf numFmtId="0" fontId="6" fillId="3" borderId="17" xfId="0" applyFont="1" applyFill="1" applyBorder="1"/>
    <xf numFmtId="0" fontId="5" fillId="0" borderId="18" xfId="0" applyFont="1" applyBorder="1"/>
    <xf numFmtId="0" fontId="5" fillId="0" borderId="19" xfId="0" applyFont="1" applyBorder="1"/>
    <xf numFmtId="0" fontId="6" fillId="3" borderId="20" xfId="0" applyFont="1" applyFill="1" applyBorder="1" applyAlignment="1">
      <alignment horizontal="center"/>
    </xf>
    <xf numFmtId="0" fontId="18" fillId="0" borderId="21" xfId="0" applyFont="1" applyBorder="1" applyAlignment="1">
      <alignment horizontal="center"/>
    </xf>
    <xf numFmtId="0" fontId="5" fillId="0" borderId="21" xfId="0" applyFont="1" applyBorder="1" applyAlignment="1">
      <alignment horizontal="center"/>
    </xf>
    <xf numFmtId="0" fontId="5" fillId="0" borderId="22" xfId="0" applyFont="1" applyBorder="1" applyAlignment="1">
      <alignment horizontal="center"/>
    </xf>
    <xf numFmtId="49" fontId="9" fillId="3" borderId="1" xfId="0" applyNumberFormat="1" applyFont="1" applyFill="1" applyBorder="1" applyAlignment="1">
      <alignment horizontal="center"/>
    </xf>
    <xf numFmtId="49" fontId="10" fillId="0" borderId="2" xfId="0" applyNumberFormat="1" applyFont="1" applyBorder="1"/>
    <xf numFmtId="49" fontId="5" fillId="0" borderId="2" xfId="0" applyNumberFormat="1" applyFont="1" applyBorder="1"/>
    <xf numFmtId="49" fontId="5" fillId="0" borderId="3" xfId="0" applyNumberFormat="1" applyFont="1" applyBorder="1"/>
    <xf numFmtId="2" fontId="7" fillId="0" borderId="2" xfId="0" applyNumberFormat="1" applyFont="1" applyBorder="1"/>
    <xf numFmtId="2" fontId="7" fillId="0" borderId="3" xfId="0" applyNumberFormat="1" applyFont="1" applyBorder="1"/>
    <xf numFmtId="2" fontId="6" fillId="0" borderId="4" xfId="0" applyNumberFormat="1" applyFont="1" applyBorder="1"/>
    <xf numFmtId="2" fontId="6" fillId="0" borderId="5" xfId="0" applyNumberFormat="1" applyFont="1" applyBorder="1"/>
    <xf numFmtId="1" fontId="7" fillId="6" borderId="0" xfId="0" applyNumberFormat="1" applyFont="1" applyFill="1"/>
    <xf numFmtId="1" fontId="6" fillId="6" borderId="0" xfId="0" applyNumberFormat="1" applyFont="1" applyFill="1"/>
    <xf numFmtId="1" fontId="7" fillId="0" borderId="0" xfId="0" applyNumberFormat="1" applyFont="1"/>
    <xf numFmtId="1" fontId="6" fillId="0" borderId="0" xfId="0" applyNumberFormat="1" applyFont="1"/>
    <xf numFmtId="1" fontId="6" fillId="7" borderId="6" xfId="0" applyNumberFormat="1" applyFont="1" applyFill="1" applyBorder="1"/>
    <xf numFmtId="1" fontId="7" fillId="4" borderId="0" xfId="0" applyNumberFormat="1" applyFont="1" applyFill="1"/>
    <xf numFmtId="1" fontId="6" fillId="4" borderId="0" xfId="0" applyNumberFormat="1" applyFont="1" applyFill="1"/>
    <xf numFmtId="1" fontId="6" fillId="3" borderId="6" xfId="0" applyNumberFormat="1" applyFont="1" applyFill="1" applyBorder="1"/>
    <xf numFmtId="1" fontId="7" fillId="9" borderId="0" xfId="0" applyNumberFormat="1" applyFont="1" applyFill="1"/>
    <xf numFmtId="1" fontId="6" fillId="9" borderId="0" xfId="0" applyNumberFormat="1" applyFont="1" applyFill="1"/>
    <xf numFmtId="1" fontId="6" fillId="10" borderId="6" xfId="0" applyNumberFormat="1" applyFont="1" applyFill="1" applyBorder="1"/>
    <xf numFmtId="1" fontId="6" fillId="3" borderId="0" xfId="0" applyNumberFormat="1" applyFont="1" applyFill="1" applyAlignment="1">
      <alignment horizontal="center"/>
    </xf>
    <xf numFmtId="0" fontId="4" fillId="3" borderId="0" xfId="0" applyFont="1" applyFill="1"/>
    <xf numFmtId="2" fontId="5" fillId="0" borderId="0" xfId="0" applyNumberFormat="1" applyFont="1"/>
    <xf numFmtId="174" fontId="5" fillId="0" borderId="0" xfId="0" applyNumberFormat="1" applyFont="1"/>
    <xf numFmtId="0" fontId="5" fillId="0" borderId="0" xfId="0" applyFont="1" applyAlignment="1">
      <alignment vertical="top" wrapText="1"/>
    </xf>
    <xf numFmtId="0" fontId="8" fillId="8" borderId="0" xfId="0" applyFont="1" applyFill="1" applyAlignment="1">
      <alignment vertical="top" wrapText="1"/>
    </xf>
    <xf numFmtId="0" fontId="5" fillId="8" borderId="0" xfId="0" applyFont="1" applyFill="1" applyAlignment="1">
      <alignment vertical="top" wrapText="1"/>
    </xf>
    <xf numFmtId="0" fontId="4" fillId="3" borderId="0" xfId="0" applyFont="1" applyFill="1" applyAlignment="1">
      <alignment vertical="top" wrapText="1"/>
    </xf>
    <xf numFmtId="0" fontId="26" fillId="8" borderId="0" xfId="0" applyFont="1" applyFill="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1" fontId="5" fillId="0" borderId="11" xfId="0" applyNumberFormat="1" applyFont="1" applyBorder="1" applyAlignment="1">
      <alignment horizontal="center"/>
    </xf>
    <xf numFmtId="0" fontId="27" fillId="0" borderId="0" xfId="0" applyFont="1"/>
    <xf numFmtId="165" fontId="7" fillId="9" borderId="0" xfId="0" applyNumberFormat="1" applyFont="1" applyFill="1" applyAlignment="1">
      <alignment horizontal="center"/>
    </xf>
    <xf numFmtId="165" fontId="7" fillId="0" borderId="0" xfId="0" applyNumberFormat="1" applyFont="1" applyAlignment="1">
      <alignment horizontal="center"/>
    </xf>
    <xf numFmtId="165" fontId="6" fillId="10" borderId="0" xfId="0" applyNumberFormat="1" applyFont="1" applyFill="1" applyAlignment="1">
      <alignment horizontal="center"/>
    </xf>
    <xf numFmtId="0" fontId="6" fillId="7" borderId="0" xfId="0" applyFont="1" applyFill="1" applyAlignment="1">
      <alignment horizontal="center"/>
    </xf>
    <xf numFmtId="165" fontId="7" fillId="6" borderId="0" xfId="0" applyNumberFormat="1" applyFont="1" applyFill="1" applyAlignment="1">
      <alignment horizontal="center"/>
    </xf>
    <xf numFmtId="0" fontId="6" fillId="15" borderId="0" xfId="0" applyFont="1" applyFill="1"/>
    <xf numFmtId="165" fontId="6" fillId="15" borderId="0" xfId="0" applyNumberFormat="1" applyFont="1" applyFill="1" applyAlignment="1">
      <alignment horizontal="center"/>
    </xf>
    <xf numFmtId="0" fontId="15" fillId="0" borderId="0" xfId="0" applyFont="1"/>
    <xf numFmtId="0" fontId="14" fillId="0" borderId="0" xfId="0" applyFont="1"/>
    <xf numFmtId="0" fontId="2" fillId="11" borderId="0" xfId="0" applyFont="1" applyFill="1"/>
    <xf numFmtId="0" fontId="5" fillId="11" borderId="0" xfId="0" applyFont="1" applyFill="1"/>
    <xf numFmtId="0" fontId="5" fillId="9" borderId="2" xfId="0" applyFont="1" applyFill="1" applyBorder="1"/>
    <xf numFmtId="165" fontId="7" fillId="9" borderId="2" xfId="0" applyNumberFormat="1" applyFont="1" applyFill="1" applyBorder="1" applyAlignment="1">
      <alignment horizontal="center"/>
    </xf>
    <xf numFmtId="167" fontId="5" fillId="9" borderId="2" xfId="0" applyNumberFormat="1" applyFont="1" applyFill="1" applyBorder="1" applyAlignment="1">
      <alignment horizontal="center"/>
    </xf>
    <xf numFmtId="165" fontId="6" fillId="9" borderId="2" xfId="0" applyNumberFormat="1" applyFont="1" applyFill="1" applyBorder="1" applyAlignment="1">
      <alignment horizontal="center"/>
    </xf>
    <xf numFmtId="167" fontId="5" fillId="0" borderId="2" xfId="0" applyNumberFormat="1" applyFont="1" applyBorder="1" applyAlignment="1">
      <alignment horizontal="center"/>
    </xf>
    <xf numFmtId="165" fontId="7" fillId="0" borderId="2" xfId="0" applyNumberFormat="1" applyFont="1" applyBorder="1" applyAlignment="1">
      <alignment horizontal="center"/>
    </xf>
    <xf numFmtId="165" fontId="6" fillId="0" borderId="2" xfId="0" applyNumberFormat="1" applyFont="1" applyBorder="1" applyAlignment="1">
      <alignment horizontal="center"/>
    </xf>
    <xf numFmtId="0" fontId="6" fillId="10" borderId="23" xfId="0" applyFont="1" applyFill="1" applyBorder="1"/>
    <xf numFmtId="165" fontId="6" fillId="10" borderId="23" xfId="0" applyNumberFormat="1" applyFont="1" applyFill="1" applyBorder="1" applyAlignment="1">
      <alignment horizontal="center"/>
    </xf>
    <xf numFmtId="0" fontId="6" fillId="7" borderId="1" xfId="0" applyFont="1" applyFill="1" applyBorder="1"/>
    <xf numFmtId="0" fontId="6" fillId="7" borderId="1" xfId="0" applyFont="1" applyFill="1" applyBorder="1" applyAlignment="1">
      <alignment horizontal="center"/>
    </xf>
    <xf numFmtId="0" fontId="5" fillId="6" borderId="2" xfId="0" applyFont="1" applyFill="1" applyBorder="1"/>
    <xf numFmtId="165" fontId="7" fillId="6" borderId="2" xfId="0" applyNumberFormat="1" applyFont="1" applyFill="1" applyBorder="1" applyAlignment="1">
      <alignment horizontal="center"/>
    </xf>
    <xf numFmtId="167" fontId="5" fillId="6" borderId="2" xfId="0" applyNumberFormat="1" applyFont="1" applyFill="1" applyBorder="1" applyAlignment="1">
      <alignment horizontal="center"/>
    </xf>
    <xf numFmtId="165" fontId="6" fillId="6" borderId="2" xfId="0" applyNumberFormat="1" applyFont="1" applyFill="1" applyBorder="1" applyAlignment="1">
      <alignment horizontal="center"/>
    </xf>
    <xf numFmtId="0" fontId="6" fillId="15" borderId="23" xfId="0" applyFont="1" applyFill="1" applyBorder="1"/>
    <xf numFmtId="165" fontId="6" fillId="15" borderId="23" xfId="0" applyNumberFormat="1" applyFont="1" applyFill="1" applyBorder="1" applyAlignment="1">
      <alignment horizontal="center"/>
    </xf>
    <xf numFmtId="0" fontId="1" fillId="16" borderId="23" xfId="0" applyFont="1" applyFill="1" applyBorder="1"/>
    <xf numFmtId="167" fontId="1" fillId="16" borderId="23" xfId="0" applyNumberFormat="1" applyFont="1" applyFill="1" applyBorder="1" applyAlignment="1">
      <alignment horizontal="center"/>
    </xf>
    <xf numFmtId="0" fontId="19" fillId="0" borderId="10" xfId="0" applyFont="1" applyBorder="1"/>
    <xf numFmtId="165" fontId="5" fillId="0" borderId="12" xfId="0" applyNumberFormat="1" applyFont="1" applyBorder="1" applyAlignment="1">
      <alignment horizontal="center"/>
    </xf>
    <xf numFmtId="0" fontId="21" fillId="0" borderId="10" xfId="0" applyFont="1" applyBorder="1"/>
    <xf numFmtId="0" fontId="6" fillId="0" borderId="13" xfId="0" applyFont="1" applyBorder="1"/>
    <xf numFmtId="167" fontId="6" fillId="0" borderId="14" xfId="0" applyNumberFormat="1" applyFont="1" applyBorder="1" applyAlignment="1">
      <alignment horizontal="center"/>
    </xf>
    <xf numFmtId="167" fontId="6" fillId="0" borderId="15" xfId="0" applyNumberFormat="1" applyFont="1" applyBorder="1" applyAlignment="1">
      <alignment horizontal="center"/>
    </xf>
    <xf numFmtId="0" fontId="6" fillId="16" borderId="7" xfId="0" applyFont="1" applyFill="1" applyBorder="1"/>
    <xf numFmtId="0" fontId="6" fillId="16" borderId="8" xfId="0" applyFont="1" applyFill="1" applyBorder="1" applyAlignment="1">
      <alignment horizontal="center"/>
    </xf>
    <xf numFmtId="0" fontId="6" fillId="16" borderId="9" xfId="0" applyFont="1" applyFill="1" applyBorder="1" applyAlignment="1">
      <alignment horizontal="center"/>
    </xf>
    <xf numFmtId="0" fontId="6" fillId="0" borderId="10" xfId="0" applyFont="1" applyBorder="1"/>
    <xf numFmtId="167" fontId="6" fillId="0" borderId="11" xfId="0" applyNumberFormat="1" applyFont="1" applyBorder="1" applyAlignment="1">
      <alignment horizontal="center"/>
    </xf>
    <xf numFmtId="167" fontId="6" fillId="0" borderId="12" xfId="0" applyNumberFormat="1" applyFont="1" applyBorder="1" applyAlignment="1">
      <alignment horizontal="center"/>
    </xf>
    <xf numFmtId="0" fontId="13" fillId="0" borderId="10" xfId="0" applyFont="1" applyBorder="1"/>
    <xf numFmtId="0" fontId="13" fillId="0" borderId="11" xfId="0" quotePrefix="1" applyFont="1" applyBorder="1" applyAlignment="1">
      <alignment horizontal="center"/>
    </xf>
    <xf numFmtId="0" fontId="13" fillId="0" borderId="12" xfId="0" quotePrefix="1" applyFont="1" applyBorder="1" applyAlignment="1">
      <alignment horizontal="center"/>
    </xf>
    <xf numFmtId="0" fontId="6" fillId="16" borderId="13" xfId="0" applyFont="1" applyFill="1" applyBorder="1"/>
    <xf numFmtId="167" fontId="6" fillId="16" borderId="14" xfId="0" applyNumberFormat="1" applyFont="1" applyFill="1" applyBorder="1" applyAlignment="1">
      <alignment horizontal="center"/>
    </xf>
    <xf numFmtId="167" fontId="6" fillId="16" borderId="15" xfId="0" applyNumberFormat="1" applyFont="1" applyFill="1" applyBorder="1" applyAlignment="1">
      <alignment horizontal="center"/>
    </xf>
    <xf numFmtId="0" fontId="6" fillId="3" borderId="8" xfId="0" applyFont="1" applyFill="1" applyBorder="1"/>
    <xf numFmtId="0" fontId="6" fillId="3" borderId="9" xfId="0" applyFont="1" applyFill="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5" xfId="0" applyFont="1" applyBorder="1" applyAlignment="1">
      <alignment wrapText="1"/>
    </xf>
    <xf numFmtId="0" fontId="5" fillId="3" borderId="0" xfId="0" quotePrefix="1" applyFont="1" applyFill="1"/>
    <xf numFmtId="0" fontId="13" fillId="0" borderId="0" xfId="0" applyFont="1" applyAlignment="1">
      <alignment wrapText="1"/>
    </xf>
    <xf numFmtId="167" fontId="5" fillId="0" borderId="11" xfId="0" applyNumberFormat="1" applyFont="1" applyBorder="1" applyAlignment="1">
      <alignment horizontal="center"/>
    </xf>
    <xf numFmtId="0" fontId="5" fillId="0" borderId="12" xfId="0" applyFont="1" applyBorder="1"/>
    <xf numFmtId="166" fontId="6" fillId="16" borderId="14" xfId="0" applyNumberFormat="1" applyFont="1" applyFill="1" applyBorder="1" applyAlignment="1">
      <alignment horizontal="center"/>
    </xf>
    <xf numFmtId="0" fontId="28" fillId="0" borderId="15" xfId="0" applyFont="1" applyBorder="1" applyAlignment="1">
      <alignment horizontal="center"/>
    </xf>
    <xf numFmtId="0" fontId="12" fillId="16" borderId="13" xfId="0" applyFont="1" applyFill="1" applyBorder="1"/>
    <xf numFmtId="166" fontId="12" fillId="16" borderId="14" xfId="0" applyNumberFormat="1" applyFont="1" applyFill="1" applyBorder="1" applyAlignment="1">
      <alignment horizontal="center"/>
    </xf>
    <xf numFmtId="0" fontId="15" fillId="0" borderId="15" xfId="0" applyFont="1" applyBorder="1" applyAlignment="1">
      <alignment horizontal="center"/>
    </xf>
    <xf numFmtId="167" fontId="5" fillId="0" borderId="12" xfId="0" applyNumberFormat="1" applyFont="1" applyBorder="1" applyAlignment="1">
      <alignment horizontal="center"/>
    </xf>
    <xf numFmtId="166" fontId="12" fillId="16" borderId="15" xfId="0" applyNumberFormat="1" applyFont="1" applyFill="1" applyBorder="1" applyAlignment="1">
      <alignment horizontal="center"/>
    </xf>
    <xf numFmtId="166" fontId="15" fillId="0" borderId="11" xfId="0" applyNumberFormat="1" applyFont="1" applyBorder="1" applyAlignment="1">
      <alignment horizontal="center"/>
    </xf>
    <xf numFmtId="166" fontId="14" fillId="0" borderId="11" xfId="0" applyNumberFormat="1" applyFont="1" applyBorder="1" applyAlignment="1">
      <alignment horizontal="center"/>
    </xf>
    <xf numFmtId="0" fontId="5" fillId="0" borderId="14" xfId="0" applyFont="1" applyBorder="1"/>
    <xf numFmtId="166" fontId="15" fillId="0" borderId="14" xfId="0" applyNumberFormat="1" applyFont="1" applyBorder="1" applyAlignment="1">
      <alignment horizontal="center"/>
    </xf>
    <xf numFmtId="0" fontId="13" fillId="0" borderId="14" xfId="0" applyFont="1" applyBorder="1" applyAlignment="1">
      <alignment horizontal="center"/>
    </xf>
    <xf numFmtId="0" fontId="5" fillId="0" borderId="14" xfId="0" applyFont="1" applyBorder="1" applyAlignment="1">
      <alignment horizontal="center"/>
    </xf>
    <xf numFmtId="0" fontId="20" fillId="3" borderId="0" xfId="0" applyFont="1" applyFill="1"/>
    <xf numFmtId="10" fontId="7" fillId="0" borderId="0" xfId="0" applyNumberFormat="1" applyFont="1" applyAlignment="1">
      <alignment horizontal="center"/>
    </xf>
    <xf numFmtId="175" fontId="5" fillId="0" borderId="0" xfId="0" applyNumberFormat="1" applyFont="1" applyAlignment="1">
      <alignment horizontal="center"/>
    </xf>
    <xf numFmtId="10" fontId="7" fillId="9" borderId="0" xfId="0" applyNumberFormat="1" applyFont="1" applyFill="1" applyAlignment="1">
      <alignment horizontal="center"/>
    </xf>
    <xf numFmtId="175" fontId="5" fillId="9" borderId="0" xfId="0" applyNumberFormat="1" applyFont="1" applyFill="1" applyAlignment="1">
      <alignment horizontal="center"/>
    </xf>
    <xf numFmtId="10" fontId="6" fillId="10" borderId="0" xfId="0" applyNumberFormat="1" applyFont="1" applyFill="1" applyAlignment="1">
      <alignment horizontal="center"/>
    </xf>
    <xf numFmtId="175" fontId="6" fillId="10" borderId="0" xfId="0" applyNumberFormat="1" applyFont="1" applyFill="1" applyAlignment="1">
      <alignment horizontal="center"/>
    </xf>
    <xf numFmtId="0" fontId="22" fillId="7" borderId="0" xfId="0" applyFont="1" applyFill="1"/>
    <xf numFmtId="10" fontId="7" fillId="6" borderId="0" xfId="0" applyNumberFormat="1" applyFont="1" applyFill="1" applyAlignment="1">
      <alignment horizontal="center"/>
    </xf>
    <xf numFmtId="175" fontId="5" fillId="6" borderId="0" xfId="0" applyNumberFormat="1" applyFont="1" applyFill="1" applyAlignment="1">
      <alignment horizontal="center"/>
    </xf>
    <xf numFmtId="10" fontId="6" fillId="15" borderId="0" xfId="0" applyNumberFormat="1" applyFont="1" applyFill="1" applyAlignment="1">
      <alignment horizontal="center"/>
    </xf>
    <xf numFmtId="175" fontId="6" fillId="15" borderId="0" xfId="0" applyNumberFormat="1" applyFont="1" applyFill="1" applyAlignment="1">
      <alignment horizontal="center"/>
    </xf>
    <xf numFmtId="175" fontId="4" fillId="0" borderId="0" xfId="0" applyNumberFormat="1" applyFont="1" applyAlignment="1">
      <alignment horizontal="center"/>
    </xf>
    <xf numFmtId="0" fontId="4" fillId="9" borderId="0" xfId="0" applyFont="1" applyFill="1"/>
    <xf numFmtId="10" fontId="4" fillId="9" borderId="0" xfId="0" applyNumberFormat="1" applyFont="1" applyFill="1" applyAlignment="1">
      <alignment horizontal="center"/>
    </xf>
    <xf numFmtId="10" fontId="4" fillId="0" borderId="0" xfId="0" applyNumberFormat="1" applyFont="1" applyAlignment="1">
      <alignment horizontal="center"/>
    </xf>
    <xf numFmtId="0" fontId="28" fillId="0" borderId="0" xfId="0" applyFont="1"/>
    <xf numFmtId="0" fontId="5" fillId="9" borderId="10" xfId="0" applyFont="1" applyFill="1" applyBorder="1"/>
    <xf numFmtId="0" fontId="5" fillId="9" borderId="11" xfId="0" applyFont="1" applyFill="1" applyBorder="1" applyAlignment="1">
      <alignment wrapText="1"/>
    </xf>
    <xf numFmtId="0" fontId="5" fillId="9" borderId="12" xfId="0" applyFont="1" applyFill="1" applyBorder="1" applyAlignment="1">
      <alignment wrapText="1"/>
    </xf>
    <xf numFmtId="0" fontId="5" fillId="9" borderId="13" xfId="0" applyFont="1" applyFill="1" applyBorder="1"/>
    <xf numFmtId="10" fontId="5" fillId="9" borderId="14" xfId="0" applyNumberFormat="1" applyFont="1" applyFill="1" applyBorder="1" applyAlignment="1">
      <alignment horizontal="center"/>
    </xf>
    <xf numFmtId="10" fontId="5" fillId="9" borderId="15" xfId="0" applyNumberFormat="1" applyFont="1" applyFill="1" applyBorder="1" applyAlignment="1">
      <alignment horizontal="center"/>
    </xf>
    <xf numFmtId="175" fontId="5" fillId="0" borderId="11" xfId="0" applyNumberFormat="1" applyFont="1" applyBorder="1" applyAlignment="1">
      <alignment horizontal="center"/>
    </xf>
    <xf numFmtId="0" fontId="6" fillId="9" borderId="10" xfId="0" applyFont="1" applyFill="1" applyBorder="1"/>
    <xf numFmtId="175" fontId="6" fillId="9" borderId="11" xfId="0" applyNumberFormat="1" applyFont="1" applyFill="1" applyBorder="1" applyAlignment="1">
      <alignment horizontal="center"/>
    </xf>
    <xf numFmtId="0" fontId="6" fillId="16" borderId="10" xfId="0" applyFont="1" applyFill="1" applyBorder="1"/>
    <xf numFmtId="175" fontId="6" fillId="16" borderId="11" xfId="0" applyNumberFormat="1" applyFont="1" applyFill="1" applyBorder="1" applyAlignment="1">
      <alignment horizontal="center"/>
    </xf>
    <xf numFmtId="177" fontId="6" fillId="0" borderId="14" xfId="0" applyNumberFormat="1" applyFont="1" applyBorder="1" applyAlignment="1">
      <alignment horizontal="center"/>
    </xf>
    <xf numFmtId="0" fontId="5" fillId="0" borderId="15" xfId="0" applyFont="1" applyBorder="1"/>
    <xf numFmtId="0" fontId="20" fillId="0" borderId="0" xfId="0" applyFont="1" applyAlignment="1">
      <alignment wrapText="1"/>
    </xf>
    <xf numFmtId="0" fontId="6" fillId="3" borderId="8" xfId="0" applyFont="1" applyFill="1" applyBorder="1" applyAlignment="1">
      <alignment wrapText="1"/>
    </xf>
    <xf numFmtId="0" fontId="6" fillId="3" borderId="9" xfId="0" applyFont="1" applyFill="1" applyBorder="1" applyAlignment="1">
      <alignment wrapText="1"/>
    </xf>
    <xf numFmtId="0" fontId="14" fillId="9" borderId="11" xfId="0" applyFont="1" applyFill="1" applyBorder="1" applyAlignment="1">
      <alignment horizontal="center"/>
    </xf>
    <xf numFmtId="0" fontId="14" fillId="0" borderId="11" xfId="0" applyFont="1" applyBorder="1" applyAlignment="1">
      <alignment horizontal="center"/>
    </xf>
    <xf numFmtId="0" fontId="5" fillId="6" borderId="10" xfId="0" applyFont="1" applyFill="1" applyBorder="1"/>
    <xf numFmtId="0" fontId="14" fillId="6" borderId="11" xfId="0" applyFont="1" applyFill="1" applyBorder="1" applyAlignment="1">
      <alignment horizontal="center"/>
    </xf>
    <xf numFmtId="0" fontId="5" fillId="6" borderId="11" xfId="0" applyFont="1" applyFill="1" applyBorder="1" applyAlignment="1">
      <alignment wrapText="1"/>
    </xf>
    <xf numFmtId="0" fontId="5" fillId="6" borderId="12" xfId="0" applyFont="1" applyFill="1" applyBorder="1" applyAlignment="1">
      <alignment wrapText="1"/>
    </xf>
    <xf numFmtId="0" fontId="15" fillId="0" borderId="11" xfId="0" applyFont="1" applyBorder="1" applyAlignment="1">
      <alignment horizontal="center"/>
    </xf>
    <xf numFmtId="0" fontId="5" fillId="6" borderId="13" xfId="0" applyFont="1" applyFill="1" applyBorder="1"/>
    <xf numFmtId="0" fontId="15" fillId="6" borderId="14" xfId="0" applyFont="1" applyFill="1" applyBorder="1" applyAlignment="1">
      <alignment horizontal="center"/>
    </xf>
    <xf numFmtId="0" fontId="5" fillId="6" borderId="14" xfId="0" applyFont="1" applyFill="1" applyBorder="1" applyAlignment="1">
      <alignment wrapText="1"/>
    </xf>
    <xf numFmtId="0" fontId="5" fillId="6" borderId="15" xfId="0" applyFont="1" applyFill="1" applyBorder="1" applyAlignment="1">
      <alignment wrapText="1"/>
    </xf>
    <xf numFmtId="0" fontId="20" fillId="3" borderId="7" xfId="0" applyFont="1" applyFill="1" applyBorder="1"/>
    <xf numFmtId="165" fontId="7" fillId="0" borderId="11" xfId="0" applyNumberFormat="1" applyFont="1" applyBorder="1" applyAlignment="1">
      <alignment horizontal="center"/>
    </xf>
    <xf numFmtId="10" fontId="7" fillId="0" borderId="11" xfId="0" applyNumberFormat="1" applyFont="1" applyBorder="1" applyAlignment="1">
      <alignment horizontal="center"/>
    </xf>
    <xf numFmtId="175" fontId="5" fillId="0" borderId="12" xfId="0" applyNumberFormat="1" applyFont="1" applyBorder="1" applyAlignment="1">
      <alignment horizontal="center"/>
    </xf>
    <xf numFmtId="165" fontId="7" fillId="9" borderId="11" xfId="0" applyNumberFormat="1" applyFont="1" applyFill="1" applyBorder="1" applyAlignment="1">
      <alignment horizontal="center"/>
    </xf>
    <xf numFmtId="10" fontId="7" fillId="9" borderId="11" xfId="0" applyNumberFormat="1" applyFont="1" applyFill="1" applyBorder="1" applyAlignment="1">
      <alignment horizontal="center"/>
    </xf>
    <xf numFmtId="175" fontId="5" fillId="9" borderId="12" xfId="0" applyNumberFormat="1" applyFont="1" applyFill="1" applyBorder="1" applyAlignment="1">
      <alignment horizontal="center"/>
    </xf>
    <xf numFmtId="0" fontId="6" fillId="10" borderId="13" xfId="0" applyFont="1" applyFill="1" applyBorder="1"/>
    <xf numFmtId="165" fontId="6" fillId="10" borderId="14" xfId="0" applyNumberFormat="1" applyFont="1" applyFill="1" applyBorder="1" applyAlignment="1">
      <alignment horizontal="center"/>
    </xf>
    <xf numFmtId="175" fontId="6" fillId="10" borderId="15" xfId="0" applyNumberFormat="1" applyFont="1" applyFill="1" applyBorder="1" applyAlignment="1">
      <alignment horizontal="center"/>
    </xf>
    <xf numFmtId="0" fontId="22" fillId="7" borderId="7" xfId="0" applyFont="1" applyFill="1" applyBorder="1"/>
    <xf numFmtId="0" fontId="6" fillId="7" borderId="8" xfId="0" applyFont="1" applyFill="1" applyBorder="1" applyAlignment="1">
      <alignment horizontal="center"/>
    </xf>
    <xf numFmtId="0" fontId="6" fillId="7" borderId="9" xfId="0" applyFont="1" applyFill="1" applyBorder="1" applyAlignment="1">
      <alignment horizontal="center"/>
    </xf>
    <xf numFmtId="165" fontId="7" fillId="6" borderId="11" xfId="0" applyNumberFormat="1" applyFont="1" applyFill="1" applyBorder="1" applyAlignment="1">
      <alignment horizontal="center"/>
    </xf>
    <xf numFmtId="10" fontId="7" fillId="6" borderId="11" xfId="0" applyNumberFormat="1" applyFont="1" applyFill="1" applyBorder="1" applyAlignment="1">
      <alignment horizontal="center"/>
    </xf>
    <xf numFmtId="175" fontId="5" fillId="6" borderId="12" xfId="0" applyNumberFormat="1" applyFont="1" applyFill="1" applyBorder="1" applyAlignment="1">
      <alignment horizontal="center"/>
    </xf>
    <xf numFmtId="0" fontId="6" fillId="15" borderId="13" xfId="0" applyFont="1" applyFill="1" applyBorder="1"/>
    <xf numFmtId="165" fontId="6" fillId="15" borderId="14" xfId="0" applyNumberFormat="1" applyFont="1" applyFill="1" applyBorder="1" applyAlignment="1">
      <alignment horizontal="center"/>
    </xf>
    <xf numFmtId="175" fontId="6" fillId="15" borderId="15" xfId="0" applyNumberFormat="1" applyFont="1" applyFill="1" applyBorder="1" applyAlignment="1">
      <alignment horizontal="center"/>
    </xf>
    <xf numFmtId="165" fontId="14" fillId="0" borderId="0" xfId="0" applyNumberFormat="1" applyFont="1"/>
    <xf numFmtId="176" fontId="4" fillId="0" borderId="0" xfId="0" applyNumberFormat="1" applyFont="1"/>
    <xf numFmtId="175" fontId="4" fillId="0" borderId="0" xfId="0" applyNumberFormat="1" applyFont="1"/>
    <xf numFmtId="0" fontId="20" fillId="0" borderId="10" xfId="0" applyFont="1" applyBorder="1"/>
    <xf numFmtId="177" fontId="14" fillId="0" borderId="11" xfId="0" applyNumberFormat="1" applyFont="1" applyBorder="1" applyAlignment="1">
      <alignment horizontal="center"/>
    </xf>
    <xf numFmtId="0" fontId="22" fillId="0" borderId="10" xfId="0" applyFont="1" applyBorder="1"/>
    <xf numFmtId="177" fontId="15" fillId="0" borderId="11" xfId="0" applyNumberFormat="1" applyFont="1" applyBorder="1" applyAlignment="1">
      <alignment horizontal="center"/>
    </xf>
    <xf numFmtId="175" fontId="6" fillId="16" borderId="14" xfId="0" applyNumberFormat="1" applyFont="1" applyFill="1" applyBorder="1" applyAlignment="1">
      <alignment horizontal="center"/>
    </xf>
    <xf numFmtId="177" fontId="14" fillId="16" borderId="14" xfId="0" applyNumberFormat="1" applyFont="1" applyFill="1" applyBorder="1" applyAlignment="1">
      <alignment horizontal="center"/>
    </xf>
    <xf numFmtId="0" fontId="14" fillId="16" borderId="15" xfId="0" applyFont="1" applyFill="1" applyBorder="1" applyAlignment="1">
      <alignment wrapText="1"/>
    </xf>
    <xf numFmtId="175" fontId="28" fillId="0" borderId="0" xfId="0" applyNumberFormat="1" applyFont="1"/>
  </cellXfs>
  <cellStyles count="1">
    <cellStyle name="Normal" xfId="0" builtinId="0"/>
  </cellStyles>
  <dxfs count="30">
    <dxf>
      <font>
        <color rgb="FF008000"/>
      </font>
      <fill>
        <patternFill patternType="solid">
          <fgColor indexed="64"/>
          <bgColor rgb="FFE5FFE5"/>
        </patternFill>
      </fill>
    </dxf>
    <dxf>
      <font>
        <color rgb="FFFF0000"/>
      </font>
      <fill>
        <patternFill patternType="solid">
          <fgColor indexed="64"/>
          <bgColor rgb="FFFFE5E5"/>
        </patternFill>
      </fill>
    </dxf>
    <dxf>
      <font>
        <color rgb="FF008000"/>
      </font>
      <fill>
        <patternFill patternType="solid">
          <fgColor indexed="64"/>
          <bgColor rgb="FFE5FFE5"/>
        </patternFill>
      </fill>
    </dxf>
    <dxf>
      <font>
        <color rgb="FFFF0000"/>
      </font>
      <fill>
        <patternFill patternType="solid">
          <fgColor indexed="64"/>
          <bgColor rgb="FFFFE5E5"/>
        </patternFill>
      </fill>
    </dxf>
    <dxf>
      <font>
        <color rgb="FF008000"/>
      </font>
      <fill>
        <patternFill patternType="solid">
          <fgColor indexed="64"/>
          <bgColor rgb="FFE5FFE5"/>
        </patternFill>
      </fill>
    </dxf>
    <dxf>
      <font>
        <color rgb="FFFF0000"/>
      </font>
      <fill>
        <patternFill patternType="solid">
          <fgColor indexed="64"/>
          <bgColor rgb="FFFFE5E5"/>
        </patternFill>
      </fill>
    </dxf>
    <dxf>
      <font>
        <color rgb="FF008000"/>
      </font>
      <fill>
        <patternFill patternType="solid">
          <fgColor indexed="64"/>
          <bgColor rgb="FFE5FFE5"/>
        </patternFill>
      </fill>
    </dxf>
    <dxf>
      <font>
        <color rgb="FFFF0000"/>
      </font>
      <fill>
        <patternFill patternType="solid">
          <fgColor indexed="64"/>
          <bgColor rgb="FFFFE5E5"/>
        </patternFill>
      </fill>
    </dxf>
    <dxf>
      <font>
        <color rgb="FF008000"/>
      </font>
    </dxf>
    <dxf>
      <font>
        <color rgb="FFFF0000"/>
      </font>
    </dxf>
    <dxf>
      <font>
        <color rgb="FF008000"/>
      </font>
    </dxf>
    <dxf>
      <font>
        <color rgb="FFFF0000"/>
      </font>
    </dxf>
    <dxf>
      <font>
        <color rgb="FF008000"/>
      </font>
    </dxf>
    <dxf>
      <font>
        <color rgb="FFFF0000"/>
      </font>
    </dxf>
    <dxf>
      <font>
        <color rgb="FF008000"/>
      </font>
    </dxf>
    <dxf>
      <font>
        <color rgb="FFFF0000"/>
      </font>
    </dxf>
    <dxf>
      <font>
        <color rgb="FF008000"/>
      </font>
      <fill>
        <patternFill patternType="solid">
          <fgColor indexed="64"/>
          <bgColor rgb="FFE5FFE5"/>
        </patternFill>
      </fill>
    </dxf>
    <dxf>
      <font>
        <color rgb="FFFF0000"/>
      </font>
      <fill>
        <patternFill patternType="solid">
          <fgColor indexed="64"/>
          <bgColor rgb="FFFFE5E5"/>
        </patternFill>
      </fill>
    </dxf>
    <dxf>
      <font>
        <color rgb="FFFF0000"/>
      </font>
      <fill>
        <patternFill patternType="solid">
          <fgColor indexed="64"/>
          <bgColor rgb="FFFFE5E5"/>
        </patternFill>
      </fill>
    </dxf>
    <dxf>
      <font>
        <color rgb="FF008000"/>
      </font>
      <fill>
        <patternFill patternType="solid">
          <fgColor indexed="64"/>
          <bgColor rgb="FFE5FFE5"/>
        </patternFill>
      </fill>
    </dxf>
    <dxf>
      <font>
        <color rgb="FF008000"/>
      </font>
    </dxf>
    <dxf>
      <font>
        <color rgb="FFFF0000"/>
      </font>
    </dxf>
    <dxf>
      <font>
        <color rgb="FF008000"/>
      </font>
      <fill>
        <patternFill patternType="solid">
          <fgColor indexed="64"/>
          <bgColor rgb="FFE5FFE5"/>
        </patternFill>
      </fill>
    </dxf>
    <dxf>
      <font>
        <color rgb="FFFF0000"/>
      </font>
      <fill>
        <patternFill patternType="solid">
          <fgColor indexed="64"/>
          <bgColor rgb="FFFFE5E5"/>
        </patternFill>
      </fill>
    </dxf>
    <dxf>
      <font>
        <color rgb="FF008000"/>
      </font>
    </dxf>
    <dxf>
      <font>
        <color rgb="FFFF0000"/>
      </font>
    </dxf>
    <dxf>
      <font>
        <color rgb="FF008000"/>
      </font>
      <fill>
        <patternFill patternType="solid">
          <fgColor indexed="64"/>
          <bgColor rgb="FFE5FFE5"/>
        </patternFill>
      </fill>
    </dxf>
    <dxf>
      <font>
        <color rgb="FFFF0000"/>
      </font>
      <fill>
        <patternFill patternType="solid">
          <fgColor indexed="64"/>
          <bgColor rgb="FFFFE5E5"/>
        </patternFill>
      </fill>
    </dxf>
    <dxf>
      <font>
        <color rgb="FF008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Assets vs Liabilities by Maturity ($mm)</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Dashboard!$A$17</c:f>
              <c:strCache>
                <c:ptCount val="1"/>
                <c:pt idx="0">
                  <c:v>Total Assets</c:v>
                </c:pt>
              </c:strCache>
            </c:strRef>
          </c:tx>
          <c:spPr>
            <a:solidFill>
              <a:srgbClr val="2E75B6"/>
            </a:solidFill>
            <a:ln>
              <a:noFill/>
            </a:ln>
            <a:effectLst/>
          </c:spPr>
          <c:invertIfNegative val="0"/>
          <c:cat>
            <c:strRef>
              <c:f>Dashboard!$B$16:$I$16</c:f>
              <c:strCache>
                <c:ptCount val="8"/>
                <c:pt idx="0">
                  <c:v>1-14D</c:v>
                </c:pt>
                <c:pt idx="1">
                  <c:v>15-28D</c:v>
                </c:pt>
                <c:pt idx="2">
                  <c:v>29D-3M</c:v>
                </c:pt>
                <c:pt idx="3">
                  <c:v>3-6M</c:v>
                </c:pt>
                <c:pt idx="4">
                  <c:v>6M-1Y</c:v>
                </c:pt>
                <c:pt idx="5">
                  <c:v>1-3Y</c:v>
                </c:pt>
                <c:pt idx="6">
                  <c:v>3-5Y</c:v>
                </c:pt>
                <c:pt idx="7">
                  <c:v>&gt;5Y</c:v>
                </c:pt>
              </c:strCache>
            </c:strRef>
          </c:cat>
          <c:val>
            <c:numRef>
              <c:f>Dashboard!$B$17:$I$17</c:f>
              <c:numCache>
                <c:formatCode>0.00</c:formatCode>
                <c:ptCount val="8"/>
                <c:pt idx="0">
                  <c:v>11000</c:v>
                </c:pt>
                <c:pt idx="1">
                  <c:v>6500</c:v>
                </c:pt>
                <c:pt idx="2">
                  <c:v>9700</c:v>
                </c:pt>
                <c:pt idx="3">
                  <c:v>11000</c:v>
                </c:pt>
                <c:pt idx="4">
                  <c:v>13200</c:v>
                </c:pt>
                <c:pt idx="5">
                  <c:v>19600</c:v>
                </c:pt>
                <c:pt idx="6">
                  <c:v>13000</c:v>
                </c:pt>
                <c:pt idx="7">
                  <c:v>11000</c:v>
                </c:pt>
              </c:numCache>
            </c:numRef>
          </c:val>
          <c:extLst>
            <c:ext xmlns:c16="http://schemas.microsoft.com/office/drawing/2014/chart" uri="{C3380CC4-5D6E-409C-BE32-E72D297353CC}">
              <c16:uniqueId val="{00000000-D704-B343-A605-F9857885991B}"/>
            </c:ext>
          </c:extLst>
        </c:ser>
        <c:ser>
          <c:idx val="1"/>
          <c:order val="1"/>
          <c:tx>
            <c:strRef>
              <c:f>Dashboard!$A$18</c:f>
              <c:strCache>
                <c:ptCount val="1"/>
                <c:pt idx="0">
                  <c:v>Total Liabilities</c:v>
                </c:pt>
              </c:strCache>
            </c:strRef>
          </c:tx>
          <c:spPr>
            <a:solidFill>
              <a:srgbClr val="C0504D"/>
            </a:solidFill>
            <a:ln>
              <a:noFill/>
            </a:ln>
            <a:effectLst/>
          </c:spPr>
          <c:invertIfNegative val="0"/>
          <c:cat>
            <c:strRef>
              <c:f>Dashboard!$B$16:$I$16</c:f>
              <c:strCache>
                <c:ptCount val="8"/>
                <c:pt idx="0">
                  <c:v>1-14D</c:v>
                </c:pt>
                <c:pt idx="1">
                  <c:v>15-28D</c:v>
                </c:pt>
                <c:pt idx="2">
                  <c:v>29D-3M</c:v>
                </c:pt>
                <c:pt idx="3">
                  <c:v>3-6M</c:v>
                </c:pt>
                <c:pt idx="4">
                  <c:v>6M-1Y</c:v>
                </c:pt>
                <c:pt idx="5">
                  <c:v>1-3Y</c:v>
                </c:pt>
                <c:pt idx="6">
                  <c:v>3-5Y</c:v>
                </c:pt>
                <c:pt idx="7">
                  <c:v>&gt;5Y</c:v>
                </c:pt>
              </c:strCache>
            </c:strRef>
          </c:cat>
          <c:val>
            <c:numRef>
              <c:f>Dashboard!$B$18:$I$18</c:f>
              <c:numCache>
                <c:formatCode>0.00</c:formatCode>
                <c:ptCount val="8"/>
                <c:pt idx="0">
                  <c:v>9700</c:v>
                </c:pt>
                <c:pt idx="1">
                  <c:v>8300</c:v>
                </c:pt>
                <c:pt idx="2">
                  <c:v>13600</c:v>
                </c:pt>
                <c:pt idx="3">
                  <c:v>12700</c:v>
                </c:pt>
                <c:pt idx="4">
                  <c:v>13200</c:v>
                </c:pt>
                <c:pt idx="5">
                  <c:v>12200</c:v>
                </c:pt>
                <c:pt idx="6">
                  <c:v>5200</c:v>
                </c:pt>
                <c:pt idx="7">
                  <c:v>20100</c:v>
                </c:pt>
              </c:numCache>
            </c:numRef>
          </c:val>
          <c:extLst>
            <c:ext xmlns:c16="http://schemas.microsoft.com/office/drawing/2014/chart" uri="{C3380CC4-5D6E-409C-BE32-E72D297353CC}">
              <c16:uniqueId val="{00000001-D704-B343-A605-F9857885991B}"/>
            </c:ext>
          </c:extLst>
        </c:ser>
        <c:dLbls>
          <c:showLegendKey val="0"/>
          <c:showVal val="0"/>
          <c:showCatName val="0"/>
          <c:showSerName val="0"/>
          <c:showPercent val="0"/>
          <c:showBubbleSize val="0"/>
        </c:dLbls>
        <c:gapWidth val="219"/>
        <c:overlap val="-27"/>
        <c:axId val="1993009376"/>
        <c:axId val="1791277408"/>
      </c:barChart>
      <c:catAx>
        <c:axId val="199300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277408"/>
        <c:crosses val="autoZero"/>
        <c:auto val="1"/>
        <c:lblAlgn val="ctr"/>
        <c:lblOffset val="100"/>
        <c:noMultiLvlLbl val="0"/>
      </c:catAx>
      <c:valAx>
        <c:axId val="1791277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0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Periodic &amp; Cumulative Gap ($mm)</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2"/>
          <c:order val="0"/>
          <c:tx>
            <c:strRef>
              <c:f>Dashboard!$A$19</c:f>
              <c:strCache>
                <c:ptCount val="1"/>
                <c:pt idx="0">
                  <c:v>Periodic Gap</c:v>
                </c:pt>
              </c:strCache>
            </c:strRef>
          </c:tx>
          <c:spPr>
            <a:solidFill>
              <a:srgbClr val="4472C4"/>
            </a:solidFill>
            <a:ln>
              <a:noFill/>
            </a:ln>
            <a:effectLst/>
          </c:spPr>
          <c:invertIfNegative val="0"/>
          <c:cat>
            <c:strRef>
              <c:f>Dashboard!$B$16:$I$16</c:f>
              <c:strCache>
                <c:ptCount val="8"/>
                <c:pt idx="0">
                  <c:v>1-14D</c:v>
                </c:pt>
                <c:pt idx="1">
                  <c:v>15-28D</c:v>
                </c:pt>
                <c:pt idx="2">
                  <c:v>29D-3M</c:v>
                </c:pt>
                <c:pt idx="3">
                  <c:v>3-6M</c:v>
                </c:pt>
                <c:pt idx="4">
                  <c:v>6M-1Y</c:v>
                </c:pt>
                <c:pt idx="5">
                  <c:v>1-3Y</c:v>
                </c:pt>
                <c:pt idx="6">
                  <c:v>3-5Y</c:v>
                </c:pt>
                <c:pt idx="7">
                  <c:v>&gt;5Y</c:v>
                </c:pt>
              </c:strCache>
            </c:strRef>
          </c:cat>
          <c:val>
            <c:numRef>
              <c:f>Dashboard!$B$19:$I$19</c:f>
              <c:numCache>
                <c:formatCode>0.00</c:formatCode>
                <c:ptCount val="8"/>
                <c:pt idx="0">
                  <c:v>1300</c:v>
                </c:pt>
                <c:pt idx="1">
                  <c:v>-1800</c:v>
                </c:pt>
                <c:pt idx="2">
                  <c:v>-3900</c:v>
                </c:pt>
                <c:pt idx="3">
                  <c:v>-1700</c:v>
                </c:pt>
                <c:pt idx="4">
                  <c:v>0</c:v>
                </c:pt>
                <c:pt idx="5">
                  <c:v>7400</c:v>
                </c:pt>
                <c:pt idx="6">
                  <c:v>7800</c:v>
                </c:pt>
                <c:pt idx="7">
                  <c:v>-9100</c:v>
                </c:pt>
              </c:numCache>
            </c:numRef>
          </c:val>
          <c:extLst>
            <c:ext xmlns:c16="http://schemas.microsoft.com/office/drawing/2014/chart" uri="{C3380CC4-5D6E-409C-BE32-E72D297353CC}">
              <c16:uniqueId val="{00000002-9668-914F-BDD0-40A2900FEDEE}"/>
            </c:ext>
          </c:extLst>
        </c:ser>
        <c:dLbls>
          <c:showLegendKey val="0"/>
          <c:showVal val="0"/>
          <c:showCatName val="0"/>
          <c:showSerName val="0"/>
          <c:showPercent val="0"/>
          <c:showBubbleSize val="0"/>
        </c:dLbls>
        <c:gapWidth val="219"/>
        <c:overlap val="-27"/>
        <c:axId val="585572912"/>
        <c:axId val="585682768"/>
      </c:barChart>
      <c:lineChart>
        <c:grouping val="standard"/>
        <c:varyColors val="0"/>
        <c:ser>
          <c:idx val="3"/>
          <c:order val="1"/>
          <c:tx>
            <c:strRef>
              <c:f>Dashboard!$A$20</c:f>
              <c:strCache>
                <c:ptCount val="1"/>
                <c:pt idx="0">
                  <c:v>Cumulative Gap</c:v>
                </c:pt>
              </c:strCache>
            </c:strRef>
          </c:tx>
          <c:spPr>
            <a:ln w="28575" cap="rnd">
              <a:solidFill>
                <a:srgbClr val="FF8C00"/>
              </a:solidFill>
              <a:prstDash val="solid"/>
              <a:round/>
            </a:ln>
            <a:effectLst/>
          </c:spPr>
          <c:marker>
            <c:symbol val="circle"/>
            <c:size val="8"/>
            <c:spPr>
              <a:solidFill>
                <a:schemeClr val="accent4"/>
              </a:solidFill>
              <a:ln w="9525">
                <a:solidFill>
                  <a:schemeClr val="accent4"/>
                </a:solidFill>
              </a:ln>
              <a:effectLst/>
            </c:spPr>
          </c:marker>
          <c:cat>
            <c:strRef>
              <c:f>Dashboard!$B$16:$I$16</c:f>
              <c:strCache>
                <c:ptCount val="8"/>
                <c:pt idx="0">
                  <c:v>1-14D</c:v>
                </c:pt>
                <c:pt idx="1">
                  <c:v>15-28D</c:v>
                </c:pt>
                <c:pt idx="2">
                  <c:v>29D-3M</c:v>
                </c:pt>
                <c:pt idx="3">
                  <c:v>3-6M</c:v>
                </c:pt>
                <c:pt idx="4">
                  <c:v>6M-1Y</c:v>
                </c:pt>
                <c:pt idx="5">
                  <c:v>1-3Y</c:v>
                </c:pt>
                <c:pt idx="6">
                  <c:v>3-5Y</c:v>
                </c:pt>
                <c:pt idx="7">
                  <c:v>&gt;5Y</c:v>
                </c:pt>
              </c:strCache>
            </c:strRef>
          </c:cat>
          <c:val>
            <c:numRef>
              <c:f>Dashboard!$B$20:$I$20</c:f>
              <c:numCache>
                <c:formatCode>0.00</c:formatCode>
                <c:ptCount val="8"/>
                <c:pt idx="0">
                  <c:v>1300</c:v>
                </c:pt>
                <c:pt idx="1">
                  <c:v>-500</c:v>
                </c:pt>
                <c:pt idx="2">
                  <c:v>-4400</c:v>
                </c:pt>
                <c:pt idx="3">
                  <c:v>-6100</c:v>
                </c:pt>
                <c:pt idx="4">
                  <c:v>-6100</c:v>
                </c:pt>
                <c:pt idx="5">
                  <c:v>1300</c:v>
                </c:pt>
                <c:pt idx="6">
                  <c:v>9100</c:v>
                </c:pt>
                <c:pt idx="7">
                  <c:v>0</c:v>
                </c:pt>
              </c:numCache>
            </c:numRef>
          </c:val>
          <c:smooth val="0"/>
          <c:extLst>
            <c:ext xmlns:c16="http://schemas.microsoft.com/office/drawing/2014/chart" uri="{C3380CC4-5D6E-409C-BE32-E72D297353CC}">
              <c16:uniqueId val="{00000003-9668-914F-BDD0-40A2900FEDEE}"/>
            </c:ext>
          </c:extLst>
        </c:ser>
        <c:dLbls>
          <c:showLegendKey val="0"/>
          <c:showVal val="0"/>
          <c:showCatName val="0"/>
          <c:showSerName val="0"/>
          <c:showPercent val="0"/>
          <c:showBubbleSize val="0"/>
        </c:dLbls>
        <c:marker val="1"/>
        <c:smooth val="0"/>
        <c:axId val="585572912"/>
        <c:axId val="585682768"/>
      </c:lineChart>
      <c:catAx>
        <c:axId val="58557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82768"/>
        <c:crosses val="autoZero"/>
        <c:auto val="1"/>
        <c:lblAlgn val="ctr"/>
        <c:lblOffset val="100"/>
        <c:noMultiLvlLbl val="0"/>
      </c:catAx>
      <c:valAx>
        <c:axId val="585682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7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Rate-Sensitive Assets vs Liabilities ($mm)</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Dashboard!$A$24</c:f>
              <c:strCache>
                <c:ptCount val="1"/>
                <c:pt idx="0">
                  <c:v>RSA</c:v>
                </c:pt>
              </c:strCache>
            </c:strRef>
          </c:tx>
          <c:spPr>
            <a:solidFill>
              <a:srgbClr val="2E75B6"/>
            </a:solidFill>
            <a:ln>
              <a:noFill/>
            </a:ln>
            <a:effectLst/>
          </c:spPr>
          <c:invertIfNegative val="0"/>
          <c:cat>
            <c:strRef>
              <c:f>Dashboard!$B$23:$I$23</c:f>
              <c:strCache>
                <c:ptCount val="8"/>
                <c:pt idx="0">
                  <c:v>1-14D</c:v>
                </c:pt>
                <c:pt idx="1">
                  <c:v>15-28D</c:v>
                </c:pt>
                <c:pt idx="2">
                  <c:v>29D-3M</c:v>
                </c:pt>
                <c:pt idx="3">
                  <c:v>3-6M</c:v>
                </c:pt>
                <c:pt idx="4">
                  <c:v>6M-1Y</c:v>
                </c:pt>
                <c:pt idx="5">
                  <c:v>1-3Y</c:v>
                </c:pt>
                <c:pt idx="6">
                  <c:v>3-5Y</c:v>
                </c:pt>
                <c:pt idx="7">
                  <c:v>&gt;5Y</c:v>
                </c:pt>
              </c:strCache>
            </c:strRef>
          </c:cat>
          <c:val>
            <c:numRef>
              <c:f>Dashboard!$B$24:$I$24</c:f>
              <c:numCache>
                <c:formatCode>0.0</c:formatCode>
                <c:ptCount val="8"/>
                <c:pt idx="0">
                  <c:v>13000</c:v>
                </c:pt>
                <c:pt idx="1">
                  <c:v>7000</c:v>
                </c:pt>
                <c:pt idx="2">
                  <c:v>15200</c:v>
                </c:pt>
                <c:pt idx="3">
                  <c:v>12000</c:v>
                </c:pt>
                <c:pt idx="4">
                  <c:v>12700</c:v>
                </c:pt>
                <c:pt idx="5">
                  <c:v>15100</c:v>
                </c:pt>
                <c:pt idx="6">
                  <c:v>8500</c:v>
                </c:pt>
                <c:pt idx="7">
                  <c:v>7500</c:v>
                </c:pt>
              </c:numCache>
            </c:numRef>
          </c:val>
          <c:extLst>
            <c:ext xmlns:c16="http://schemas.microsoft.com/office/drawing/2014/chart" uri="{C3380CC4-5D6E-409C-BE32-E72D297353CC}">
              <c16:uniqueId val="{00000000-D15C-0347-B7AC-C1D1D8B9005E}"/>
            </c:ext>
          </c:extLst>
        </c:ser>
        <c:ser>
          <c:idx val="1"/>
          <c:order val="1"/>
          <c:tx>
            <c:strRef>
              <c:f>Dashboard!$A$25</c:f>
              <c:strCache>
                <c:ptCount val="1"/>
                <c:pt idx="0">
                  <c:v>RSL</c:v>
                </c:pt>
              </c:strCache>
            </c:strRef>
          </c:tx>
          <c:spPr>
            <a:solidFill>
              <a:srgbClr val="C0504D"/>
            </a:solidFill>
            <a:ln>
              <a:noFill/>
            </a:ln>
            <a:effectLst/>
          </c:spPr>
          <c:invertIfNegative val="0"/>
          <c:cat>
            <c:strRef>
              <c:f>Dashboard!$B$23:$I$23</c:f>
              <c:strCache>
                <c:ptCount val="8"/>
                <c:pt idx="0">
                  <c:v>1-14D</c:v>
                </c:pt>
                <c:pt idx="1">
                  <c:v>15-28D</c:v>
                </c:pt>
                <c:pt idx="2">
                  <c:v>29D-3M</c:v>
                </c:pt>
                <c:pt idx="3">
                  <c:v>3-6M</c:v>
                </c:pt>
                <c:pt idx="4">
                  <c:v>6M-1Y</c:v>
                </c:pt>
                <c:pt idx="5">
                  <c:v>1-3Y</c:v>
                </c:pt>
                <c:pt idx="6">
                  <c:v>3-5Y</c:v>
                </c:pt>
                <c:pt idx="7">
                  <c:v>&gt;5Y</c:v>
                </c:pt>
              </c:strCache>
            </c:strRef>
          </c:cat>
          <c:val>
            <c:numRef>
              <c:f>Dashboard!$B$25:$I$25</c:f>
              <c:numCache>
                <c:formatCode>0.0</c:formatCode>
                <c:ptCount val="8"/>
                <c:pt idx="0">
                  <c:v>9500</c:v>
                </c:pt>
                <c:pt idx="1">
                  <c:v>8000</c:v>
                </c:pt>
                <c:pt idx="2">
                  <c:v>13400</c:v>
                </c:pt>
                <c:pt idx="3">
                  <c:v>12400</c:v>
                </c:pt>
                <c:pt idx="4">
                  <c:v>13000</c:v>
                </c:pt>
                <c:pt idx="5">
                  <c:v>11900</c:v>
                </c:pt>
                <c:pt idx="6">
                  <c:v>4900</c:v>
                </c:pt>
                <c:pt idx="7">
                  <c:v>3800</c:v>
                </c:pt>
              </c:numCache>
            </c:numRef>
          </c:val>
          <c:extLst>
            <c:ext xmlns:c16="http://schemas.microsoft.com/office/drawing/2014/chart" uri="{C3380CC4-5D6E-409C-BE32-E72D297353CC}">
              <c16:uniqueId val="{00000001-D15C-0347-B7AC-C1D1D8B9005E}"/>
            </c:ext>
          </c:extLst>
        </c:ser>
        <c:dLbls>
          <c:showLegendKey val="0"/>
          <c:showVal val="0"/>
          <c:showCatName val="0"/>
          <c:showSerName val="0"/>
          <c:showPercent val="0"/>
          <c:showBubbleSize val="0"/>
        </c:dLbls>
        <c:gapWidth val="219"/>
        <c:overlap val="-27"/>
        <c:axId val="1791410272"/>
        <c:axId val="964941424"/>
      </c:barChart>
      <c:lineChart>
        <c:grouping val="standard"/>
        <c:varyColors val="0"/>
        <c:ser>
          <c:idx val="2"/>
          <c:order val="2"/>
          <c:tx>
            <c:strRef>
              <c:f>Dashboard!$A$26</c:f>
              <c:strCache>
                <c:ptCount val="1"/>
                <c:pt idx="0">
                  <c:v>Rate Gap</c:v>
                </c:pt>
              </c:strCache>
            </c:strRef>
          </c:tx>
          <c:spPr>
            <a:ln w="28575" cap="rnd">
              <a:solidFill>
                <a:srgbClr val="4472C4"/>
              </a:solidFill>
              <a:prstDash val="solid"/>
              <a:round/>
            </a:ln>
            <a:effectLst/>
          </c:spPr>
          <c:marker>
            <c:symbol val="diamond"/>
            <c:size val="8"/>
            <c:spPr>
              <a:solidFill>
                <a:schemeClr val="accent3"/>
              </a:solidFill>
              <a:ln w="9525">
                <a:solidFill>
                  <a:schemeClr val="accent3"/>
                </a:solidFill>
              </a:ln>
              <a:effectLst/>
            </c:spPr>
          </c:marker>
          <c:cat>
            <c:strRef>
              <c:f>Dashboard!$B$23:$I$23</c:f>
              <c:strCache>
                <c:ptCount val="8"/>
                <c:pt idx="0">
                  <c:v>1-14D</c:v>
                </c:pt>
                <c:pt idx="1">
                  <c:v>15-28D</c:v>
                </c:pt>
                <c:pt idx="2">
                  <c:v>29D-3M</c:v>
                </c:pt>
                <c:pt idx="3">
                  <c:v>3-6M</c:v>
                </c:pt>
                <c:pt idx="4">
                  <c:v>6M-1Y</c:v>
                </c:pt>
                <c:pt idx="5">
                  <c:v>1-3Y</c:v>
                </c:pt>
                <c:pt idx="6">
                  <c:v>3-5Y</c:v>
                </c:pt>
                <c:pt idx="7">
                  <c:v>&gt;5Y</c:v>
                </c:pt>
              </c:strCache>
            </c:strRef>
          </c:cat>
          <c:val>
            <c:numRef>
              <c:f>Dashboard!$B$26:$I$26</c:f>
              <c:numCache>
                <c:formatCode>0.0</c:formatCode>
                <c:ptCount val="8"/>
                <c:pt idx="0">
                  <c:v>3500</c:v>
                </c:pt>
                <c:pt idx="1">
                  <c:v>-1000</c:v>
                </c:pt>
                <c:pt idx="2">
                  <c:v>1800</c:v>
                </c:pt>
                <c:pt idx="3">
                  <c:v>-400</c:v>
                </c:pt>
                <c:pt idx="4">
                  <c:v>-300</c:v>
                </c:pt>
                <c:pt idx="5">
                  <c:v>3200</c:v>
                </c:pt>
                <c:pt idx="6">
                  <c:v>3600</c:v>
                </c:pt>
                <c:pt idx="7">
                  <c:v>3700</c:v>
                </c:pt>
              </c:numCache>
            </c:numRef>
          </c:val>
          <c:smooth val="0"/>
          <c:extLst>
            <c:ext xmlns:c16="http://schemas.microsoft.com/office/drawing/2014/chart" uri="{C3380CC4-5D6E-409C-BE32-E72D297353CC}">
              <c16:uniqueId val="{00000002-D15C-0347-B7AC-C1D1D8B9005E}"/>
            </c:ext>
          </c:extLst>
        </c:ser>
        <c:dLbls>
          <c:showLegendKey val="0"/>
          <c:showVal val="0"/>
          <c:showCatName val="0"/>
          <c:showSerName val="0"/>
          <c:showPercent val="0"/>
          <c:showBubbleSize val="0"/>
        </c:dLbls>
        <c:marker val="1"/>
        <c:smooth val="0"/>
        <c:axId val="1791410272"/>
        <c:axId val="964941424"/>
      </c:lineChart>
      <c:catAx>
        <c:axId val="179141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941424"/>
        <c:crosses val="autoZero"/>
        <c:auto val="1"/>
        <c:lblAlgn val="ctr"/>
        <c:lblOffset val="100"/>
        <c:noMultiLvlLbl val="0"/>
      </c:catAx>
      <c:valAx>
        <c:axId val="964941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410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NII Impact by Rate Scenario ($mm)</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Dashboard!$B$64</c:f>
              <c:strCache>
                <c:ptCount val="1"/>
                <c:pt idx="0">
                  <c:v>NII Impact ($mm)</c:v>
                </c:pt>
              </c:strCache>
            </c:strRef>
          </c:tx>
          <c:spPr>
            <a:solidFill>
              <a:srgbClr val="4472C4"/>
            </a:solidFill>
            <a:ln>
              <a:noFill/>
            </a:ln>
            <a:effectLst/>
          </c:spPr>
          <c:invertIfNegative val="0"/>
          <c:cat>
            <c:strRef>
              <c:f>Dashboard!$A$65:$A$69</c:f>
              <c:strCache>
                <c:ptCount val="5"/>
                <c:pt idx="0">
                  <c:v>+200 bps</c:v>
                </c:pt>
                <c:pt idx="1">
                  <c:v>+100 bps</c:v>
                </c:pt>
                <c:pt idx="2">
                  <c:v>Base Case</c:v>
                </c:pt>
                <c:pt idx="3">
                  <c:v>-100 bps</c:v>
                </c:pt>
                <c:pt idx="4">
                  <c:v>-200 bps</c:v>
                </c:pt>
              </c:strCache>
            </c:strRef>
          </c:cat>
          <c:val>
            <c:numRef>
              <c:f>Dashboard!$B$65:$B$69</c:f>
              <c:numCache>
                <c:formatCode>"₹"#,##0;\("₹"#,##0\);"-"</c:formatCode>
                <c:ptCount val="5"/>
                <c:pt idx="0">
                  <c:v>72</c:v>
                </c:pt>
                <c:pt idx="1">
                  <c:v>36</c:v>
                </c:pt>
                <c:pt idx="2">
                  <c:v>0</c:v>
                </c:pt>
                <c:pt idx="3">
                  <c:v>-36</c:v>
                </c:pt>
                <c:pt idx="4">
                  <c:v>-72</c:v>
                </c:pt>
              </c:numCache>
            </c:numRef>
          </c:val>
          <c:extLst>
            <c:ext xmlns:c16="http://schemas.microsoft.com/office/drawing/2014/chart" uri="{C3380CC4-5D6E-409C-BE32-E72D297353CC}">
              <c16:uniqueId val="{00000000-87FE-9048-BBAF-7CBA34525338}"/>
            </c:ext>
          </c:extLst>
        </c:ser>
        <c:dLbls>
          <c:showLegendKey val="0"/>
          <c:showVal val="0"/>
          <c:showCatName val="0"/>
          <c:showSerName val="0"/>
          <c:showPercent val="0"/>
          <c:showBubbleSize val="0"/>
        </c:dLbls>
        <c:gapWidth val="182"/>
        <c:axId val="1612262688"/>
        <c:axId val="1611798560"/>
      </c:barChart>
      <c:catAx>
        <c:axId val="161226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98560"/>
        <c:crosses val="autoZero"/>
        <c:auto val="1"/>
        <c:lblAlgn val="ctr"/>
        <c:lblOffset val="100"/>
        <c:noMultiLvlLbl val="0"/>
      </c:catAx>
      <c:valAx>
        <c:axId val="16117985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26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Structural Liquidity Gap: Assets vs Liabilities vs Gap</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'Illust - Structural Liquidity'!$A$27</c:f>
              <c:strCache>
                <c:ptCount val="1"/>
                <c:pt idx="0">
                  <c:v>Total Assets (from Step 1)</c:v>
                </c:pt>
              </c:strCache>
            </c:strRef>
          </c:tx>
          <c:spPr>
            <a:solidFill>
              <a:srgbClr val="2E75B6"/>
            </a:solidFill>
            <a:ln>
              <a:noFill/>
            </a:ln>
            <a:effectLst/>
          </c:spPr>
          <c:invertIfNegative val="0"/>
          <c:cat>
            <c:strRef>
              <c:f>'Illust - Structural Liquidity'!$B$26:$E$26</c:f>
              <c:strCache>
                <c:ptCount val="4"/>
                <c:pt idx="0">
                  <c:v>0-3 Months</c:v>
                </c:pt>
                <c:pt idx="1">
                  <c:v>3-12 Months</c:v>
                </c:pt>
                <c:pt idx="2">
                  <c:v>1-5 Years</c:v>
                </c:pt>
                <c:pt idx="3">
                  <c:v>&gt;5 Years</c:v>
                </c:pt>
              </c:strCache>
            </c:strRef>
          </c:cat>
          <c:val>
            <c:numRef>
              <c:f>'Illust - Structural Liquidity'!$B$27:$E$27</c:f>
              <c:numCache>
                <c:formatCode>"₹"#,##0</c:formatCode>
                <c:ptCount val="4"/>
                <c:pt idx="0">
                  <c:v>100</c:v>
                </c:pt>
                <c:pt idx="1">
                  <c:v>150</c:v>
                </c:pt>
                <c:pt idx="2">
                  <c:v>400</c:v>
                </c:pt>
                <c:pt idx="3">
                  <c:v>350</c:v>
                </c:pt>
              </c:numCache>
            </c:numRef>
          </c:val>
          <c:extLst>
            <c:ext xmlns:c16="http://schemas.microsoft.com/office/drawing/2014/chart" uri="{C3380CC4-5D6E-409C-BE32-E72D297353CC}">
              <c16:uniqueId val="{00000000-2C5D-CF41-8A60-7301E2BB361A}"/>
            </c:ext>
          </c:extLst>
        </c:ser>
        <c:ser>
          <c:idx val="1"/>
          <c:order val="1"/>
          <c:tx>
            <c:strRef>
              <c:f>'Illust - Structural Liquidity'!$A$28</c:f>
              <c:strCache>
                <c:ptCount val="1"/>
                <c:pt idx="0">
                  <c:v>Total Liabilities (from Step 2)</c:v>
                </c:pt>
              </c:strCache>
            </c:strRef>
          </c:tx>
          <c:spPr>
            <a:solidFill>
              <a:srgbClr val="C0504D"/>
            </a:solidFill>
            <a:ln>
              <a:noFill/>
            </a:ln>
            <a:effectLst/>
          </c:spPr>
          <c:invertIfNegative val="0"/>
          <c:cat>
            <c:strRef>
              <c:f>'Illust - Structural Liquidity'!$B$26:$E$26</c:f>
              <c:strCache>
                <c:ptCount val="4"/>
                <c:pt idx="0">
                  <c:v>0-3 Months</c:v>
                </c:pt>
                <c:pt idx="1">
                  <c:v>3-12 Months</c:v>
                </c:pt>
                <c:pt idx="2">
                  <c:v>1-5 Years</c:v>
                </c:pt>
                <c:pt idx="3">
                  <c:v>&gt;5 Years</c:v>
                </c:pt>
              </c:strCache>
            </c:strRef>
          </c:cat>
          <c:val>
            <c:numRef>
              <c:f>'Illust - Structural Liquidity'!$B$28:$E$28</c:f>
              <c:numCache>
                <c:formatCode>"₹"#,##0</c:formatCode>
                <c:ptCount val="4"/>
                <c:pt idx="0">
                  <c:v>350</c:v>
                </c:pt>
                <c:pt idx="1">
                  <c:v>350</c:v>
                </c:pt>
                <c:pt idx="2">
                  <c:v>100</c:v>
                </c:pt>
                <c:pt idx="3">
                  <c:v>200</c:v>
                </c:pt>
              </c:numCache>
            </c:numRef>
          </c:val>
          <c:extLst>
            <c:ext xmlns:c16="http://schemas.microsoft.com/office/drawing/2014/chart" uri="{C3380CC4-5D6E-409C-BE32-E72D297353CC}">
              <c16:uniqueId val="{00000001-2C5D-CF41-8A60-7301E2BB361A}"/>
            </c:ext>
          </c:extLst>
        </c:ser>
        <c:ser>
          <c:idx val="2"/>
          <c:order val="2"/>
          <c:tx>
            <c:strRef>
              <c:f>'Illust - Structural Liquidity'!$A$29</c:f>
              <c:strCache>
                <c:ptCount val="1"/>
                <c:pt idx="0">
                  <c:v>→ GAP = Assets – Liabilities</c:v>
                </c:pt>
              </c:strCache>
            </c:strRef>
          </c:tx>
          <c:spPr>
            <a:solidFill>
              <a:srgbClr val="4472C4"/>
            </a:solidFill>
            <a:ln>
              <a:noFill/>
            </a:ln>
            <a:effectLst/>
          </c:spPr>
          <c:invertIfNegative val="0"/>
          <c:cat>
            <c:strRef>
              <c:f>'Illust - Structural Liquidity'!$B$26:$E$26</c:f>
              <c:strCache>
                <c:ptCount val="4"/>
                <c:pt idx="0">
                  <c:v>0-3 Months</c:v>
                </c:pt>
                <c:pt idx="1">
                  <c:v>3-12 Months</c:v>
                </c:pt>
                <c:pt idx="2">
                  <c:v>1-5 Years</c:v>
                </c:pt>
                <c:pt idx="3">
                  <c:v>&gt;5 Years</c:v>
                </c:pt>
              </c:strCache>
            </c:strRef>
          </c:cat>
          <c:val>
            <c:numRef>
              <c:f>'Illust - Structural Liquidity'!$B$29:$E$29</c:f>
              <c:numCache>
                <c:formatCode>"₹"#,##0;\("₹"#,##0\);"-"</c:formatCode>
                <c:ptCount val="4"/>
                <c:pt idx="0">
                  <c:v>-250</c:v>
                </c:pt>
                <c:pt idx="1">
                  <c:v>-200</c:v>
                </c:pt>
                <c:pt idx="2">
                  <c:v>300</c:v>
                </c:pt>
                <c:pt idx="3">
                  <c:v>150</c:v>
                </c:pt>
              </c:numCache>
            </c:numRef>
          </c:val>
          <c:extLst>
            <c:ext xmlns:c16="http://schemas.microsoft.com/office/drawing/2014/chart" uri="{C3380CC4-5D6E-409C-BE32-E72D297353CC}">
              <c16:uniqueId val="{00000002-2C5D-CF41-8A60-7301E2BB361A}"/>
            </c:ext>
          </c:extLst>
        </c:ser>
        <c:dLbls>
          <c:showLegendKey val="0"/>
          <c:showVal val="0"/>
          <c:showCatName val="0"/>
          <c:showSerName val="0"/>
          <c:showPercent val="0"/>
          <c:showBubbleSize val="0"/>
        </c:dLbls>
        <c:gapWidth val="219"/>
        <c:overlap val="-27"/>
        <c:axId val="1669771600"/>
        <c:axId val="1793433856"/>
      </c:barChart>
      <c:catAx>
        <c:axId val="166977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33856"/>
        <c:crosses val="autoZero"/>
        <c:auto val="1"/>
        <c:lblAlgn val="ctr"/>
        <c:lblOffset val="100"/>
        <c:noMultiLvlLbl val="0"/>
      </c:catAx>
      <c:valAx>
        <c:axId val="1793433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771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Periodic Gap (bars) vs Cumulative Gap (line)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'Illust - Periodic &amp; Cumul Gap'!$A$17</c:f>
              <c:strCache>
                <c:ptCount val="1"/>
                <c:pt idx="0">
                  <c:v>Periodic Gap (this bucket only)</c:v>
                </c:pt>
              </c:strCache>
            </c:strRef>
          </c:tx>
          <c:spPr>
            <a:solidFill>
              <a:srgbClr val="4472C4"/>
            </a:solidFill>
            <a:ln>
              <a:noFill/>
            </a:ln>
            <a:effectLst/>
          </c:spPr>
          <c:invertIfNegative val="0"/>
          <c:cat>
            <c:strRef>
              <c:f>'Illust - Periodic &amp; Cumul Gap'!$B$16:$E$16</c:f>
              <c:strCache>
                <c:ptCount val="4"/>
                <c:pt idx="0">
                  <c:v>0-3M</c:v>
                </c:pt>
                <c:pt idx="1">
                  <c:v>3-12M</c:v>
                </c:pt>
                <c:pt idx="2">
                  <c:v>1-5Y</c:v>
                </c:pt>
                <c:pt idx="3">
                  <c:v>&gt;5Y</c:v>
                </c:pt>
              </c:strCache>
            </c:strRef>
          </c:cat>
          <c:val>
            <c:numRef>
              <c:f>'Illust - Periodic &amp; Cumul Gap'!$B$17:$E$17</c:f>
              <c:numCache>
                <c:formatCode>"₹"#,##0;\("₹"#,##0\);"-"</c:formatCode>
                <c:ptCount val="4"/>
                <c:pt idx="0">
                  <c:v>-250</c:v>
                </c:pt>
                <c:pt idx="1">
                  <c:v>-200</c:v>
                </c:pt>
                <c:pt idx="2">
                  <c:v>300</c:v>
                </c:pt>
                <c:pt idx="3">
                  <c:v>150</c:v>
                </c:pt>
              </c:numCache>
            </c:numRef>
          </c:val>
          <c:extLst>
            <c:ext xmlns:c16="http://schemas.microsoft.com/office/drawing/2014/chart" uri="{C3380CC4-5D6E-409C-BE32-E72D297353CC}">
              <c16:uniqueId val="{00000000-1806-7548-BC27-0F9E5A628533}"/>
            </c:ext>
          </c:extLst>
        </c:ser>
        <c:dLbls>
          <c:showLegendKey val="0"/>
          <c:showVal val="0"/>
          <c:showCatName val="0"/>
          <c:showSerName val="0"/>
          <c:showPercent val="0"/>
          <c:showBubbleSize val="0"/>
        </c:dLbls>
        <c:gapWidth val="219"/>
        <c:overlap val="-27"/>
        <c:axId val="1191047920"/>
        <c:axId val="1190959360"/>
      </c:barChart>
      <c:lineChart>
        <c:grouping val="standard"/>
        <c:varyColors val="0"/>
        <c:ser>
          <c:idx val="2"/>
          <c:order val="1"/>
          <c:tx>
            <c:strRef>
              <c:f>'Illust - Periodic &amp; Cumul Gap'!$A$19</c:f>
              <c:strCache>
                <c:ptCount val="1"/>
                <c:pt idx="0">
                  <c:v>→ CUMULATIVE GAP</c:v>
                </c:pt>
              </c:strCache>
            </c:strRef>
          </c:tx>
          <c:spPr>
            <a:ln w="28575" cap="rnd">
              <a:solidFill>
                <a:srgbClr val="FF8C00"/>
              </a:solidFill>
              <a:prstDash val="solid"/>
              <a:round/>
            </a:ln>
            <a:effectLst/>
          </c:spPr>
          <c:marker>
            <c:symbol val="circle"/>
            <c:size val="8"/>
            <c:spPr>
              <a:solidFill>
                <a:schemeClr val="accent3"/>
              </a:solidFill>
              <a:ln w="9525">
                <a:solidFill>
                  <a:schemeClr val="accent3"/>
                </a:solidFill>
              </a:ln>
              <a:effectLst/>
            </c:spPr>
          </c:marker>
          <c:cat>
            <c:strRef>
              <c:f>'Illust - Periodic &amp; Cumul Gap'!$B$16:$E$16</c:f>
              <c:strCache>
                <c:ptCount val="4"/>
                <c:pt idx="0">
                  <c:v>0-3M</c:v>
                </c:pt>
                <c:pt idx="1">
                  <c:v>3-12M</c:v>
                </c:pt>
                <c:pt idx="2">
                  <c:v>1-5Y</c:v>
                </c:pt>
                <c:pt idx="3">
                  <c:v>&gt;5Y</c:v>
                </c:pt>
              </c:strCache>
            </c:strRef>
          </c:cat>
          <c:val>
            <c:numRef>
              <c:f>'Illust - Periodic &amp; Cumul Gap'!$B$19:$E$19</c:f>
              <c:numCache>
                <c:formatCode>"₹"#,##0;\("₹"#,##0\);"-"</c:formatCode>
                <c:ptCount val="4"/>
                <c:pt idx="0">
                  <c:v>-250</c:v>
                </c:pt>
                <c:pt idx="1">
                  <c:v>-450</c:v>
                </c:pt>
                <c:pt idx="2">
                  <c:v>-150</c:v>
                </c:pt>
                <c:pt idx="3">
                  <c:v>0</c:v>
                </c:pt>
              </c:numCache>
            </c:numRef>
          </c:val>
          <c:smooth val="0"/>
          <c:extLst>
            <c:ext xmlns:c16="http://schemas.microsoft.com/office/drawing/2014/chart" uri="{C3380CC4-5D6E-409C-BE32-E72D297353CC}">
              <c16:uniqueId val="{00000002-1806-7548-BC27-0F9E5A628533}"/>
            </c:ext>
          </c:extLst>
        </c:ser>
        <c:dLbls>
          <c:showLegendKey val="0"/>
          <c:showVal val="0"/>
          <c:showCatName val="0"/>
          <c:showSerName val="0"/>
          <c:showPercent val="0"/>
          <c:showBubbleSize val="0"/>
        </c:dLbls>
        <c:marker val="1"/>
        <c:smooth val="0"/>
        <c:axId val="1191047920"/>
        <c:axId val="1190959360"/>
      </c:lineChart>
      <c:catAx>
        <c:axId val="119104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59360"/>
        <c:crosses val="autoZero"/>
        <c:auto val="1"/>
        <c:lblAlgn val="ctr"/>
        <c:lblOffset val="100"/>
        <c:noMultiLvlLbl val="0"/>
      </c:catAx>
      <c:valAx>
        <c:axId val="1190959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047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0</xdr:rowOff>
    </xdr:from>
    <xdr:to>
      <xdr:col>5</xdr:col>
      <xdr:colOff>0</xdr:colOff>
      <xdr:row>44</xdr:row>
      <xdr:rowOff>0</xdr:rowOff>
    </xdr:to>
    <xdr:graphicFrame macro="">
      <xdr:nvGraphicFramePr>
        <xdr:cNvPr id="4" name="Chart 3">
          <a:extLst>
            <a:ext uri="{FF2B5EF4-FFF2-40B4-BE49-F238E27FC236}">
              <a16:creationId xmlns:a16="http://schemas.microsoft.com/office/drawing/2014/main" id="{8FF355F7-75DA-6A4F-DD9E-B35AD40A9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27</xdr:row>
      <xdr:rowOff>0</xdr:rowOff>
    </xdr:from>
    <xdr:to>
      <xdr:col>10</xdr:col>
      <xdr:colOff>0</xdr:colOff>
      <xdr:row>44</xdr:row>
      <xdr:rowOff>0</xdr:rowOff>
    </xdr:to>
    <xdr:graphicFrame macro="">
      <xdr:nvGraphicFramePr>
        <xdr:cNvPr id="5" name="Chart 4">
          <a:extLst>
            <a:ext uri="{FF2B5EF4-FFF2-40B4-BE49-F238E27FC236}">
              <a16:creationId xmlns:a16="http://schemas.microsoft.com/office/drawing/2014/main" id="{AB21EB0A-A69A-4464-D2D9-0087046F9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0</xdr:rowOff>
    </xdr:from>
    <xdr:to>
      <xdr:col>5</xdr:col>
      <xdr:colOff>0</xdr:colOff>
      <xdr:row>62</xdr:row>
      <xdr:rowOff>0</xdr:rowOff>
    </xdr:to>
    <xdr:graphicFrame macro="">
      <xdr:nvGraphicFramePr>
        <xdr:cNvPr id="6" name="Chart 5">
          <a:extLst>
            <a:ext uri="{FF2B5EF4-FFF2-40B4-BE49-F238E27FC236}">
              <a16:creationId xmlns:a16="http://schemas.microsoft.com/office/drawing/2014/main" id="{95613C55-AA3F-4CA4-2D9F-6D3EDF67C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45</xdr:row>
      <xdr:rowOff>0</xdr:rowOff>
    </xdr:from>
    <xdr:to>
      <xdr:col>10</xdr:col>
      <xdr:colOff>0</xdr:colOff>
      <xdr:row>62</xdr:row>
      <xdr:rowOff>0</xdr:rowOff>
    </xdr:to>
    <xdr:graphicFrame macro="">
      <xdr:nvGraphicFramePr>
        <xdr:cNvPr id="7" name="Chart 6">
          <a:extLst>
            <a:ext uri="{FF2B5EF4-FFF2-40B4-BE49-F238E27FC236}">
              <a16:creationId xmlns:a16="http://schemas.microsoft.com/office/drawing/2014/main" id="{3A345CCC-A102-CE6C-E954-78F741236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41</xdr:row>
      <xdr:rowOff>0</xdr:rowOff>
    </xdr:from>
    <xdr:to>
      <xdr:col>6</xdr:col>
      <xdr:colOff>0</xdr:colOff>
      <xdr:row>56</xdr:row>
      <xdr:rowOff>0</xdr:rowOff>
    </xdr:to>
    <xdr:graphicFrame macro="">
      <xdr:nvGraphicFramePr>
        <xdr:cNvPr id="2" name="Chart 1">
          <a:extLst>
            <a:ext uri="{FF2B5EF4-FFF2-40B4-BE49-F238E27FC236}">
              <a16:creationId xmlns:a16="http://schemas.microsoft.com/office/drawing/2014/main" id="{5931A927-63B1-4E1F-A890-BABA7B57C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33</xdr:row>
      <xdr:rowOff>0</xdr:rowOff>
    </xdr:from>
    <xdr:to>
      <xdr:col>5</xdr:col>
      <xdr:colOff>0</xdr:colOff>
      <xdr:row>48</xdr:row>
      <xdr:rowOff>0</xdr:rowOff>
    </xdr:to>
    <xdr:graphicFrame macro="">
      <xdr:nvGraphicFramePr>
        <xdr:cNvPr id="2" name="Chart 1">
          <a:extLst>
            <a:ext uri="{FF2B5EF4-FFF2-40B4-BE49-F238E27FC236}">
              <a16:creationId xmlns:a16="http://schemas.microsoft.com/office/drawing/2014/main" id="{404D4756-14CA-C48B-73B9-6A03ED88F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0C353C-1032-D44F-B0D5-D379D88B7F79}">
  <we:reference id="wa200009404" version="1.0.0.8" store="en-US" storeType="OMEX"/>
  <we:alternateReferences>
    <we:reference id="WA200009404" version="1.0.0.8" store="" storeType="OMEX"/>
  </we:alternateReferences>
  <we:properties>
    <we:property name="claude.fileId" value="&quot;94f3b2da-2488-4a60-88e2-656079ddc9a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8D94E-95E2-354E-B355-27305D1629F0}">
  <dimension ref="A1:J74"/>
  <sheetViews>
    <sheetView workbookViewId="0">
      <pane ySplit="3" topLeftCell="A4" activePane="bottomLeft" state="frozen"/>
      <selection pane="bottomLeft" activeCell="D9" sqref="D9"/>
    </sheetView>
  </sheetViews>
  <sheetFormatPr baseColWidth="10" defaultColWidth="29.1640625" defaultRowHeight="29" x14ac:dyDescent="0.35"/>
  <cols>
    <col min="1" max="1" width="36.6640625" style="3" customWidth="1"/>
    <col min="2" max="2" width="32" style="3" customWidth="1"/>
    <col min="3" max="5" width="16.6640625" style="3" customWidth="1"/>
    <col min="6" max="6" width="22.83203125" style="3" customWidth="1"/>
    <col min="7" max="10" width="16.6640625" style="3" customWidth="1"/>
    <col min="11" max="16384" width="29.1640625" style="3"/>
  </cols>
  <sheetData>
    <row r="1" spans="1:10" x14ac:dyDescent="0.35">
      <c r="A1" s="86" t="s">
        <v>110</v>
      </c>
      <c r="B1" s="85"/>
      <c r="C1" s="85"/>
      <c r="D1" s="85"/>
      <c r="E1" s="85"/>
      <c r="F1" s="85"/>
      <c r="G1" s="85"/>
      <c r="H1" s="85"/>
      <c r="I1" s="85"/>
      <c r="J1" s="85"/>
    </row>
    <row r="2" spans="1:10" x14ac:dyDescent="0.35">
      <c r="A2" s="2" t="str">
        <f>Assumptions!B2</f>
        <v>Sample National Bank</v>
      </c>
      <c r="E2" s="74" t="s">
        <v>111</v>
      </c>
      <c r="F2" s="75">
        <f>Assumptions!B3</f>
        <v>45747</v>
      </c>
      <c r="I2" s="74" t="s">
        <v>4</v>
      </c>
      <c r="J2" s="2" t="str">
        <f>Assumptions!B4</f>
        <v>USD ($mm)</v>
      </c>
    </row>
    <row r="4" spans="1:10" x14ac:dyDescent="0.35">
      <c r="A4" s="51" t="s">
        <v>112</v>
      </c>
      <c r="B4" s="76"/>
      <c r="C4" s="76"/>
      <c r="D4" s="76"/>
      <c r="E4" s="76"/>
    </row>
    <row r="5" spans="1:10" x14ac:dyDescent="0.35">
      <c r="A5" s="106" t="s">
        <v>113</v>
      </c>
      <c r="B5" s="105" t="s">
        <v>114</v>
      </c>
      <c r="C5" s="105" t="s">
        <v>115</v>
      </c>
      <c r="D5" s="105" t="s">
        <v>116</v>
      </c>
      <c r="E5" s="109" t="s">
        <v>117</v>
      </c>
    </row>
    <row r="6" spans="1:10" x14ac:dyDescent="0.35">
      <c r="A6" s="107" t="s">
        <v>118</v>
      </c>
      <c r="B6" s="145">
        <f>Assumptions!B13</f>
        <v>95000</v>
      </c>
      <c r="C6" s="93"/>
      <c r="D6" s="93"/>
      <c r="E6" s="110" t="s">
        <v>132</v>
      </c>
    </row>
    <row r="7" spans="1:10" x14ac:dyDescent="0.35">
      <c r="A7" s="107" t="s">
        <v>119</v>
      </c>
      <c r="B7" s="94">
        <f>('Liquidity Gap'!B22+'Liquidity Gap'!C21+'Liquidity Gap'!D21)/'Liquidity Gap'!J10</f>
        <v>-4.6315789473684213E-2</v>
      </c>
      <c r="C7" s="95" t="s">
        <v>120</v>
      </c>
      <c r="D7" s="96" t="str">
        <f>IF(B7&gt;-0.1,"PASS","BREACH")</f>
        <v>PASS</v>
      </c>
      <c r="E7" s="111" t="str">
        <f>IF(B7&gt;0,"✅ Low",IF(B7&gt;-0.1,"⚠️ Medium","❌ High"))</f>
        <v>⚠️ Medium</v>
      </c>
    </row>
    <row r="8" spans="1:10" x14ac:dyDescent="0.35">
      <c r="A8" s="107" t="s">
        <v>121</v>
      </c>
      <c r="B8" s="94">
        <f>'Liquidity Gap'!F22/'Liquidity Gap'!J10</f>
        <v>-6.4210526315789468E-2</v>
      </c>
      <c r="C8" s="95" t="s">
        <v>122</v>
      </c>
      <c r="D8" s="96" t="str">
        <f>IF(B8&gt;-0.15,"PASS","BREACH")</f>
        <v>PASS</v>
      </c>
      <c r="E8" s="111" t="str">
        <f>IF(B8&gt;0,"✅ Low",IF(B8&gt;-0.15,"⚠️ Medium","❌ High"))</f>
        <v>⚠️ Medium</v>
      </c>
    </row>
    <row r="9" spans="1:10" x14ac:dyDescent="0.35">
      <c r="A9" s="107" t="s">
        <v>123</v>
      </c>
      <c r="B9" s="98">
        <f>SUM('Rate Sensitivity Gap'!B10:F10)/SUM('Rate Sensitivity Gap'!B17:F17)</f>
        <v>1.0639431616341031</v>
      </c>
      <c r="C9" s="95" t="s">
        <v>124</v>
      </c>
      <c r="D9" s="96" t="str">
        <f>IF(AND(B9&gt;=0.8,B9&lt;=1.2),"PASS","BREACH")</f>
        <v>PASS</v>
      </c>
      <c r="E9" s="111" t="str">
        <f>IF(AND(B9&gt;=0.9,B9&lt;=1.1),"✅ Low",IF(AND(B9&gt;=0.8,B9&lt;=1.2),"⚠️ Medium","❌ High"))</f>
        <v>✅ Low</v>
      </c>
    </row>
    <row r="10" spans="1:10" x14ac:dyDescent="0.35">
      <c r="A10" s="107" t="s">
        <v>125</v>
      </c>
      <c r="B10" s="94">
        <f>'Rate Sensitivity Gap'!D30</f>
        <v>4.4999999999999997E-3</v>
      </c>
      <c r="C10" s="95" t="s">
        <v>126</v>
      </c>
      <c r="D10" s="96" t="str">
        <f>IF(ABS(B10)&lt;=0.05,"PASS","BREACH")</f>
        <v>PASS</v>
      </c>
      <c r="E10" s="111" t="str">
        <f>IF(ABS(B10)&lt;=0.02,"✅ Low",IF(ABS(B10)&lt;=0.05,"⚠️ Medium","❌ High"))</f>
        <v>✅ Low</v>
      </c>
    </row>
    <row r="11" spans="1:10" x14ac:dyDescent="0.35">
      <c r="A11" s="107" t="s">
        <v>127</v>
      </c>
      <c r="B11" s="94">
        <f>'Rate Sensitivity Gap'!C30</f>
        <v>2.3958073371599699E-2</v>
      </c>
      <c r="C11" s="95" t="s">
        <v>128</v>
      </c>
      <c r="D11" s="96" t="str">
        <f>IF(ABS(B11)&lt;=0.1,"PASS","BREACH")</f>
        <v>PASS</v>
      </c>
      <c r="E11" s="111" t="str">
        <f>IF(ABS(B11)&lt;=0.05,"✅ Low",IF(ABS(B11)&lt;=0.1,"⚠️ Medium","❌ High"))</f>
        <v>✅ Low</v>
      </c>
    </row>
    <row r="12" spans="1:10" x14ac:dyDescent="0.35">
      <c r="A12" s="107" t="s">
        <v>129</v>
      </c>
      <c r="B12" s="92">
        <f>'Rate Sensitivity Gap'!B28</f>
        <v>3005.25</v>
      </c>
      <c r="C12" s="99"/>
      <c r="D12" s="99"/>
      <c r="E12" s="110" t="s">
        <v>132</v>
      </c>
    </row>
    <row r="13" spans="1:10" x14ac:dyDescent="0.35">
      <c r="A13" s="108" t="s">
        <v>130</v>
      </c>
      <c r="B13" s="101">
        <f>B12/B6</f>
        <v>3.1634210526315792E-2</v>
      </c>
      <c r="C13" s="102" t="s">
        <v>131</v>
      </c>
      <c r="D13" s="103" t="str">
        <f>IF(B13&gt;=0.02,"PASS","BREACH")</f>
        <v>PASS</v>
      </c>
      <c r="E13" s="112" t="str">
        <f>IF(B13&gt;=0.03,"✅ Low",IF(B13&gt;=0.02,"⚠️ Medium","❌ High"))</f>
        <v>✅ Low</v>
      </c>
    </row>
    <row r="15" spans="1:10" x14ac:dyDescent="0.35">
      <c r="A15" s="51" t="s">
        <v>133</v>
      </c>
      <c r="B15" s="76"/>
      <c r="C15" s="76"/>
      <c r="D15" s="76"/>
      <c r="E15" s="76"/>
      <c r="F15" s="76"/>
      <c r="G15" s="76"/>
      <c r="H15" s="76"/>
      <c r="I15" s="76"/>
    </row>
    <row r="16" spans="1:10" x14ac:dyDescent="0.35">
      <c r="A16" s="12" t="s">
        <v>134</v>
      </c>
      <c r="B16" s="13" t="s">
        <v>135</v>
      </c>
      <c r="C16" s="13" t="s">
        <v>136</v>
      </c>
      <c r="D16" s="13" t="s">
        <v>53</v>
      </c>
      <c r="E16" s="13" t="s">
        <v>137</v>
      </c>
      <c r="F16" s="13" t="s">
        <v>138</v>
      </c>
      <c r="G16" s="13" t="s">
        <v>139</v>
      </c>
      <c r="H16" s="13" t="s">
        <v>140</v>
      </c>
      <c r="I16" s="13" t="s">
        <v>141</v>
      </c>
    </row>
    <row r="17" spans="1:9" x14ac:dyDescent="0.35">
      <c r="A17" s="78" t="s">
        <v>7</v>
      </c>
      <c r="B17" s="134">
        <f>'Liquidity Gap'!B10</f>
        <v>11000</v>
      </c>
      <c r="C17" s="134">
        <f>'Liquidity Gap'!C10</f>
        <v>6500</v>
      </c>
      <c r="D17" s="134">
        <f>'Liquidity Gap'!D10</f>
        <v>9700</v>
      </c>
      <c r="E17" s="134">
        <f>'Liquidity Gap'!E10</f>
        <v>11000</v>
      </c>
      <c r="F17" s="134">
        <f>'Liquidity Gap'!F10</f>
        <v>13200</v>
      </c>
      <c r="G17" s="134">
        <f>'Liquidity Gap'!G10</f>
        <v>19600</v>
      </c>
      <c r="H17" s="134">
        <f>'Liquidity Gap'!H10</f>
        <v>13000</v>
      </c>
      <c r="I17" s="134">
        <f>'Liquidity Gap'!I10</f>
        <v>11000</v>
      </c>
    </row>
    <row r="18" spans="1:9" x14ac:dyDescent="0.35">
      <c r="A18" s="79" t="s">
        <v>142</v>
      </c>
      <c r="B18" s="134">
        <f>'Liquidity Gap'!B18</f>
        <v>9700</v>
      </c>
      <c r="C18" s="134">
        <f>'Liquidity Gap'!C18</f>
        <v>8300</v>
      </c>
      <c r="D18" s="134">
        <f>'Liquidity Gap'!D18</f>
        <v>13600</v>
      </c>
      <c r="E18" s="134">
        <f>'Liquidity Gap'!E18</f>
        <v>12700</v>
      </c>
      <c r="F18" s="134">
        <f>'Liquidity Gap'!F18</f>
        <v>13200</v>
      </c>
      <c r="G18" s="134">
        <f>'Liquidity Gap'!G18</f>
        <v>12200</v>
      </c>
      <c r="H18" s="134">
        <f>'Liquidity Gap'!H18</f>
        <v>5200</v>
      </c>
      <c r="I18" s="134">
        <f>'Liquidity Gap'!I18</f>
        <v>20100</v>
      </c>
    </row>
    <row r="19" spans="1:9" x14ac:dyDescent="0.35">
      <c r="A19" s="80" t="s">
        <v>74</v>
      </c>
      <c r="B19" s="134">
        <f>'Liquidity Gap'!B21</f>
        <v>1300</v>
      </c>
      <c r="C19" s="134">
        <f>'Liquidity Gap'!C21</f>
        <v>-1800</v>
      </c>
      <c r="D19" s="134">
        <f>'Liquidity Gap'!D21</f>
        <v>-3900</v>
      </c>
      <c r="E19" s="134">
        <f>'Liquidity Gap'!E21</f>
        <v>-1700</v>
      </c>
      <c r="F19" s="134">
        <f>'Liquidity Gap'!F21</f>
        <v>0</v>
      </c>
      <c r="G19" s="134">
        <f>'Liquidity Gap'!G21</f>
        <v>7400</v>
      </c>
      <c r="H19" s="134">
        <f>'Liquidity Gap'!H21</f>
        <v>7800</v>
      </c>
      <c r="I19" s="134">
        <f>'Liquidity Gap'!I21</f>
        <v>-9100</v>
      </c>
    </row>
    <row r="20" spans="1:9" x14ac:dyDescent="0.35">
      <c r="A20" s="81" t="s">
        <v>75</v>
      </c>
      <c r="B20" s="134">
        <f>'Liquidity Gap'!B22</f>
        <v>1300</v>
      </c>
      <c r="C20" s="134">
        <f>'Liquidity Gap'!C22</f>
        <v>-500</v>
      </c>
      <c r="D20" s="134">
        <f>'Liquidity Gap'!D22</f>
        <v>-4400</v>
      </c>
      <c r="E20" s="134">
        <f>'Liquidity Gap'!E22</f>
        <v>-6100</v>
      </c>
      <c r="F20" s="134">
        <f>'Liquidity Gap'!F22</f>
        <v>-6100</v>
      </c>
      <c r="G20" s="134">
        <f>'Liquidity Gap'!G22</f>
        <v>1300</v>
      </c>
      <c r="H20" s="134">
        <f>'Liquidity Gap'!H22</f>
        <v>9100</v>
      </c>
      <c r="I20" s="134">
        <f>'Liquidity Gap'!I22</f>
        <v>0</v>
      </c>
    </row>
    <row r="22" spans="1:9" x14ac:dyDescent="0.35">
      <c r="A22" s="61" t="s">
        <v>143</v>
      </c>
      <c r="B22" s="63"/>
      <c r="C22" s="63"/>
      <c r="D22" s="63"/>
      <c r="E22" s="63"/>
      <c r="F22" s="63"/>
      <c r="G22" s="63"/>
      <c r="H22" s="63"/>
      <c r="I22" s="63"/>
    </row>
    <row r="23" spans="1:9" x14ac:dyDescent="0.35">
      <c r="A23" s="12" t="s">
        <v>134</v>
      </c>
      <c r="B23" s="13" t="s">
        <v>135</v>
      </c>
      <c r="C23" s="13" t="s">
        <v>136</v>
      </c>
      <c r="D23" s="13" t="s">
        <v>53</v>
      </c>
      <c r="E23" s="13" t="s">
        <v>137</v>
      </c>
      <c r="F23" s="13" t="s">
        <v>138</v>
      </c>
      <c r="G23" s="13" t="s">
        <v>139</v>
      </c>
      <c r="H23" s="13" t="s">
        <v>140</v>
      </c>
      <c r="I23" s="13" t="s">
        <v>141</v>
      </c>
    </row>
    <row r="24" spans="1:9" x14ac:dyDescent="0.35">
      <c r="A24" s="78" t="s">
        <v>144</v>
      </c>
      <c r="B24" s="135">
        <f>'Rate Sensitivity Gap'!B10</f>
        <v>13000</v>
      </c>
      <c r="C24" s="135">
        <f>'Rate Sensitivity Gap'!C10</f>
        <v>7000</v>
      </c>
      <c r="D24" s="135">
        <f>'Rate Sensitivity Gap'!D10</f>
        <v>15200</v>
      </c>
      <c r="E24" s="135">
        <f>'Rate Sensitivity Gap'!E10</f>
        <v>12000</v>
      </c>
      <c r="F24" s="135">
        <f>'Rate Sensitivity Gap'!F10</f>
        <v>12700</v>
      </c>
      <c r="G24" s="135">
        <f>'Rate Sensitivity Gap'!G10</f>
        <v>15100</v>
      </c>
      <c r="H24" s="135">
        <f>'Rate Sensitivity Gap'!H10</f>
        <v>8500</v>
      </c>
      <c r="I24" s="135">
        <f>'Rate Sensitivity Gap'!I10</f>
        <v>7500</v>
      </c>
    </row>
    <row r="25" spans="1:9" x14ac:dyDescent="0.35">
      <c r="A25" s="79" t="s">
        <v>145</v>
      </c>
      <c r="B25" s="135">
        <f>'Rate Sensitivity Gap'!B17</f>
        <v>9500</v>
      </c>
      <c r="C25" s="135">
        <f>'Rate Sensitivity Gap'!C17</f>
        <v>8000</v>
      </c>
      <c r="D25" s="135">
        <f>'Rate Sensitivity Gap'!D17</f>
        <v>13400</v>
      </c>
      <c r="E25" s="135">
        <f>'Rate Sensitivity Gap'!E17</f>
        <v>12400</v>
      </c>
      <c r="F25" s="135">
        <f>'Rate Sensitivity Gap'!F17</f>
        <v>13000</v>
      </c>
      <c r="G25" s="135">
        <f>'Rate Sensitivity Gap'!G17</f>
        <v>11900</v>
      </c>
      <c r="H25" s="135">
        <f>'Rate Sensitivity Gap'!H17</f>
        <v>4900</v>
      </c>
      <c r="I25" s="135">
        <f>'Rate Sensitivity Gap'!I17</f>
        <v>3800</v>
      </c>
    </row>
    <row r="26" spans="1:9" x14ac:dyDescent="0.35">
      <c r="A26" s="80" t="s">
        <v>146</v>
      </c>
      <c r="B26" s="135">
        <f>'Rate Sensitivity Gap'!B20</f>
        <v>3500</v>
      </c>
      <c r="C26" s="135">
        <f>'Rate Sensitivity Gap'!C20</f>
        <v>-1000</v>
      </c>
      <c r="D26" s="135">
        <f>'Rate Sensitivity Gap'!D20</f>
        <v>1800</v>
      </c>
      <c r="E26" s="135">
        <f>'Rate Sensitivity Gap'!E20</f>
        <v>-400</v>
      </c>
      <c r="F26" s="135">
        <f>'Rate Sensitivity Gap'!F20</f>
        <v>-300</v>
      </c>
      <c r="G26" s="135">
        <f>'Rate Sensitivity Gap'!G20</f>
        <v>3200</v>
      </c>
      <c r="H26" s="135">
        <f>'Rate Sensitivity Gap'!H20</f>
        <v>3600</v>
      </c>
      <c r="I26" s="135">
        <f>'Rate Sensitivity Gap'!I20</f>
        <v>3700</v>
      </c>
    </row>
    <row r="63" spans="1:4" x14ac:dyDescent="0.35">
      <c r="A63" s="61" t="s">
        <v>147</v>
      </c>
      <c r="B63" s="63"/>
      <c r="C63" s="63"/>
      <c r="D63" s="63"/>
    </row>
    <row r="64" spans="1:4" x14ac:dyDescent="0.35">
      <c r="A64" s="12" t="s">
        <v>40</v>
      </c>
      <c r="B64" s="13" t="s">
        <v>148</v>
      </c>
      <c r="C64" s="13" t="s">
        <v>101</v>
      </c>
      <c r="D64" s="13" t="s">
        <v>102</v>
      </c>
    </row>
    <row r="65" spans="1:10" x14ac:dyDescent="0.35">
      <c r="A65" s="3" t="s">
        <v>149</v>
      </c>
      <c r="B65" s="47">
        <f>'Rate Sensitivity Gap'!B30</f>
        <v>72</v>
      </c>
      <c r="C65" s="9">
        <f>'Rate Sensitivity Gap'!C30</f>
        <v>2.3958073371599699E-2</v>
      </c>
      <c r="D65" s="9">
        <f>'Rate Sensitivity Gap'!D30</f>
        <v>4.4999999999999997E-3</v>
      </c>
    </row>
    <row r="66" spans="1:10" x14ac:dyDescent="0.35">
      <c r="A66" s="3" t="s">
        <v>150</v>
      </c>
      <c r="B66" s="47">
        <f>'Rate Sensitivity Gap'!B31</f>
        <v>36</v>
      </c>
      <c r="C66" s="9">
        <f>'Rate Sensitivity Gap'!C31</f>
        <v>1.1979036685799849E-2</v>
      </c>
      <c r="D66" s="9">
        <f>'Rate Sensitivity Gap'!D31</f>
        <v>2.2499999999999998E-3</v>
      </c>
    </row>
    <row r="67" spans="1:10" x14ac:dyDescent="0.35">
      <c r="A67" s="67" t="s">
        <v>151</v>
      </c>
      <c r="B67" s="68">
        <v>0</v>
      </c>
      <c r="C67" s="69">
        <v>0</v>
      </c>
      <c r="D67" s="69">
        <v>0</v>
      </c>
    </row>
    <row r="68" spans="1:10" x14ac:dyDescent="0.35">
      <c r="A68" s="3" t="s">
        <v>152</v>
      </c>
      <c r="B68" s="47">
        <f>'Rate Sensitivity Gap'!B33</f>
        <v>-36</v>
      </c>
      <c r="C68" s="9">
        <f>'Rate Sensitivity Gap'!C33</f>
        <v>-1.1979036685799849E-2</v>
      </c>
      <c r="D68" s="9">
        <f>'Rate Sensitivity Gap'!D33</f>
        <v>-2.2499999999999998E-3</v>
      </c>
    </row>
    <row r="69" spans="1:10" x14ac:dyDescent="0.35">
      <c r="A69" s="3" t="s">
        <v>153</v>
      </c>
      <c r="B69" s="47">
        <f>'Rate Sensitivity Gap'!B34</f>
        <v>-72</v>
      </c>
      <c r="C69" s="9">
        <f>'Rate Sensitivity Gap'!C34</f>
        <v>-2.3958073371599699E-2</v>
      </c>
      <c r="D69" s="9">
        <f>'Rate Sensitivity Gap'!D34</f>
        <v>-4.4999999999999997E-3</v>
      </c>
    </row>
    <row r="71" spans="1:10" x14ac:dyDescent="0.35">
      <c r="A71" s="7" t="s">
        <v>154</v>
      </c>
      <c r="B71" s="8"/>
      <c r="C71" s="8"/>
      <c r="D71" s="8"/>
      <c r="E71" s="8"/>
      <c r="F71" s="8"/>
      <c r="G71" s="8"/>
      <c r="H71" s="8"/>
      <c r="I71" s="8"/>
      <c r="J71" s="8"/>
    </row>
    <row r="72" spans="1:10" s="84" customFormat="1" ht="45" customHeight="1" x14ac:dyDescent="0.35">
      <c r="A72" s="82" t="s">
        <v>155</v>
      </c>
      <c r="B72" s="83" t="s">
        <v>156</v>
      </c>
    </row>
    <row r="73" spans="1:10" s="84" customFormat="1" ht="79" customHeight="1" x14ac:dyDescent="0.35">
      <c r="A73" s="82" t="s">
        <v>157</v>
      </c>
      <c r="B73" s="83" t="s">
        <v>158</v>
      </c>
    </row>
    <row r="74" spans="1:10" s="84" customFormat="1" ht="88" customHeight="1" x14ac:dyDescent="0.35">
      <c r="A74" s="82" t="s">
        <v>159</v>
      </c>
      <c r="B74" s="83" t="s">
        <v>160</v>
      </c>
    </row>
  </sheetData>
  <mergeCells count="1">
    <mergeCell ref="A1:J1"/>
  </mergeCells>
  <conditionalFormatting sqref="D7:D13">
    <cfRule type="containsText" dxfId="19" priority="1" operator="containsText" text="PASS">
      <formula>NOT(ISERROR(SEARCH("PASS",D7)))</formula>
    </cfRule>
  </conditionalFormatting>
  <conditionalFormatting sqref="D7:D13">
    <cfRule type="containsText" dxfId="18" priority="2" operator="containsText" text="BREACH">
      <formula>NOT(ISERROR(SEARCH("BREACH",D7)))</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D6E8B-20FA-6240-806D-B591ACFE8210}">
  <dimension ref="A1:E44"/>
  <sheetViews>
    <sheetView workbookViewId="0">
      <selection activeCell="B16" sqref="B16:B21"/>
    </sheetView>
  </sheetViews>
  <sheetFormatPr baseColWidth="10" defaultColWidth="49" defaultRowHeight="29" x14ac:dyDescent="0.35"/>
  <cols>
    <col min="1" max="1" width="43.33203125" style="3" customWidth="1"/>
    <col min="2" max="2" width="34.83203125" style="3" customWidth="1"/>
    <col min="3" max="3" width="28" style="3" customWidth="1"/>
    <col min="4" max="4" width="24.33203125" style="3" customWidth="1"/>
    <col min="6" max="16384" width="49" style="3"/>
  </cols>
  <sheetData>
    <row r="1" spans="1:4" x14ac:dyDescent="0.35">
      <c r="A1" s="2" t="s">
        <v>0</v>
      </c>
    </row>
    <row r="2" spans="1:4" x14ac:dyDescent="0.35">
      <c r="A2" s="4" t="s">
        <v>1</v>
      </c>
      <c r="B2" s="5" t="s">
        <v>2</v>
      </c>
    </row>
    <row r="3" spans="1:4" x14ac:dyDescent="0.35">
      <c r="A3" s="4" t="s">
        <v>3</v>
      </c>
      <c r="B3" s="6">
        <v>45747</v>
      </c>
    </row>
    <row r="4" spans="1:4" x14ac:dyDescent="0.35">
      <c r="A4" s="4" t="s">
        <v>4</v>
      </c>
      <c r="B4" s="5" t="s">
        <v>5</v>
      </c>
    </row>
    <row r="6" spans="1:4" x14ac:dyDescent="0.35">
      <c r="A6" s="7" t="s">
        <v>6</v>
      </c>
      <c r="B6" s="8"/>
      <c r="C6" s="8"/>
    </row>
    <row r="7" spans="1:4" x14ac:dyDescent="0.35">
      <c r="A7" s="16" t="s">
        <v>7</v>
      </c>
      <c r="B7" s="17" t="s">
        <v>8</v>
      </c>
      <c r="C7" s="17" t="s">
        <v>9</v>
      </c>
    </row>
    <row r="8" spans="1:4" x14ac:dyDescent="0.35">
      <c r="A8" s="18" t="s">
        <v>10</v>
      </c>
      <c r="B8" s="117">
        <v>8500</v>
      </c>
      <c r="C8" s="19">
        <f>B8/B$13</f>
        <v>8.9473684210526316E-2</v>
      </c>
    </row>
    <row r="9" spans="1:4" x14ac:dyDescent="0.35">
      <c r="A9" s="20" t="s">
        <v>11</v>
      </c>
      <c r="B9" s="117">
        <v>22000</v>
      </c>
      <c r="C9" s="24">
        <f>B9/B$13</f>
        <v>0.23157894736842105</v>
      </c>
    </row>
    <row r="10" spans="1:4" x14ac:dyDescent="0.35">
      <c r="A10" s="20" t="s">
        <v>12</v>
      </c>
      <c r="B10" s="117">
        <v>55000</v>
      </c>
      <c r="C10" s="21">
        <f>B10/B$13</f>
        <v>0.57894736842105265</v>
      </c>
      <c r="D10"/>
    </row>
    <row r="11" spans="1:4" x14ac:dyDescent="0.35">
      <c r="A11" s="20" t="s">
        <v>13</v>
      </c>
      <c r="B11" s="117">
        <v>6000</v>
      </c>
      <c r="C11" s="21">
        <f>B11/B$13</f>
        <v>6.3157894736842107E-2</v>
      </c>
      <c r="D11"/>
    </row>
    <row r="12" spans="1:4" ht="30" thickBot="1" x14ac:dyDescent="0.4">
      <c r="A12" s="32" t="s">
        <v>14</v>
      </c>
      <c r="B12" s="118">
        <v>3500</v>
      </c>
      <c r="C12" s="33">
        <f>B12/B$13</f>
        <v>3.6842105263157891E-2</v>
      </c>
      <c r="D12"/>
    </row>
    <row r="13" spans="1:4" ht="30" thickBot="1" x14ac:dyDescent="0.4">
      <c r="A13" s="35" t="s">
        <v>7</v>
      </c>
      <c r="B13" s="119">
        <f>SUM(B8:B12)</f>
        <v>95000</v>
      </c>
      <c r="C13" s="36">
        <f>SUM(C8:C12)</f>
        <v>1</v>
      </c>
      <c r="D13"/>
    </row>
    <row r="14" spans="1:4" ht="30" thickTop="1" x14ac:dyDescent="0.35">
      <c r="A14" s="34"/>
      <c r="B14" s="34"/>
      <c r="C14"/>
      <c r="D14"/>
    </row>
    <row r="15" spans="1:4" x14ac:dyDescent="0.35">
      <c r="A15" s="18" t="s">
        <v>15</v>
      </c>
      <c r="B15" s="22"/>
      <c r="C15"/>
      <c r="D15"/>
    </row>
    <row r="16" spans="1:4" x14ac:dyDescent="0.35">
      <c r="A16" s="20" t="s">
        <v>16</v>
      </c>
      <c r="B16" s="117">
        <v>28000</v>
      </c>
      <c r="C16" s="23">
        <f>B16/B$21</f>
        <v>0.29473684210526313</v>
      </c>
      <c r="D16"/>
    </row>
    <row r="17" spans="1:4" x14ac:dyDescent="0.35">
      <c r="A17" s="20" t="s">
        <v>17</v>
      </c>
      <c r="B17" s="117">
        <v>35000</v>
      </c>
      <c r="C17" s="24">
        <f>B17/B$21</f>
        <v>0.36842105263157893</v>
      </c>
      <c r="D17"/>
    </row>
    <row r="18" spans="1:4" x14ac:dyDescent="0.35">
      <c r="A18" s="20" t="s">
        <v>18</v>
      </c>
      <c r="B18" s="117">
        <v>12000</v>
      </c>
      <c r="C18" s="24">
        <f>B18/B$21</f>
        <v>0.12631578947368421</v>
      </c>
      <c r="D18"/>
    </row>
    <row r="19" spans="1:4" x14ac:dyDescent="0.35">
      <c r="A19" s="20" t="s">
        <v>19</v>
      </c>
      <c r="B19" s="117">
        <v>4000</v>
      </c>
      <c r="C19" s="24">
        <f>B19/B$21</f>
        <v>4.2105263157894736E-2</v>
      </c>
      <c r="D19"/>
    </row>
    <row r="20" spans="1:4" ht="30" thickBot="1" x14ac:dyDescent="0.4">
      <c r="A20" s="32" t="s">
        <v>20</v>
      </c>
      <c r="B20" s="118">
        <v>16000</v>
      </c>
      <c r="C20" s="37">
        <f>B20/B$21</f>
        <v>0.16842105263157894</v>
      </c>
      <c r="D20"/>
    </row>
    <row r="21" spans="1:4" ht="30" thickBot="1" x14ac:dyDescent="0.4">
      <c r="A21" s="38" t="s">
        <v>15</v>
      </c>
      <c r="B21" s="120">
        <f>SUM(B16:B20)</f>
        <v>95000</v>
      </c>
      <c r="C21" s="39">
        <f>SUM(C16:C20)</f>
        <v>1</v>
      </c>
      <c r="D21"/>
    </row>
    <row r="22" spans="1:4" ht="30" thickTop="1" x14ac:dyDescent="0.35"/>
    <row r="23" spans="1:4" x14ac:dyDescent="0.35">
      <c r="A23" s="7" t="s">
        <v>21</v>
      </c>
      <c r="B23" s="8"/>
      <c r="C23" s="11"/>
      <c r="D23" s="8"/>
    </row>
    <row r="24" spans="1:4" x14ac:dyDescent="0.35">
      <c r="A24" s="25" t="s">
        <v>22</v>
      </c>
      <c r="B24" s="26" t="s">
        <v>23</v>
      </c>
      <c r="C24" s="27" t="s">
        <v>24</v>
      </c>
      <c r="D24" s="113" t="s">
        <v>25</v>
      </c>
    </row>
    <row r="25" spans="1:4" x14ac:dyDescent="0.35">
      <c r="A25" s="28" t="s">
        <v>26</v>
      </c>
      <c r="B25" s="22"/>
      <c r="C25"/>
      <c r="D25"/>
    </row>
    <row r="26" spans="1:4" x14ac:dyDescent="0.35">
      <c r="A26" s="22" t="s">
        <v>27</v>
      </c>
      <c r="B26" s="29">
        <v>0.04</v>
      </c>
      <c r="C26" s="20" t="s">
        <v>28</v>
      </c>
      <c r="D26" s="114" t="s">
        <v>29</v>
      </c>
    </row>
    <row r="27" spans="1:4" x14ac:dyDescent="0.35">
      <c r="A27" s="22" t="s">
        <v>11</v>
      </c>
      <c r="B27" s="29">
        <v>6.5000000000000002E-2</v>
      </c>
      <c r="C27" s="20" t="s">
        <v>28</v>
      </c>
      <c r="D27" s="114" t="s">
        <v>30</v>
      </c>
    </row>
    <row r="28" spans="1:4" x14ac:dyDescent="0.35">
      <c r="A28" s="22" t="s">
        <v>31</v>
      </c>
      <c r="B28" s="29">
        <v>8.7499999999999994E-2</v>
      </c>
      <c r="C28" s="20" t="s">
        <v>28</v>
      </c>
      <c r="D28" s="114" t="s">
        <v>30</v>
      </c>
    </row>
    <row r="29" spans="1:4" x14ac:dyDescent="0.35">
      <c r="A29" s="22" t="s">
        <v>32</v>
      </c>
      <c r="B29" s="29">
        <v>9.1999999999999998E-2</v>
      </c>
      <c r="C29" s="18" t="s">
        <v>33</v>
      </c>
      <c r="D29" s="114" t="s">
        <v>34</v>
      </c>
    </row>
    <row r="30" spans="1:4" x14ac:dyDescent="0.35">
      <c r="A30" s="22" t="s">
        <v>13</v>
      </c>
      <c r="B30" s="29">
        <v>5.5E-2</v>
      </c>
      <c r="C30" s="20" t="s">
        <v>28</v>
      </c>
      <c r="D30" s="114" t="s">
        <v>35</v>
      </c>
    </row>
    <row r="31" spans="1:4" x14ac:dyDescent="0.35">
      <c r="A31" s="22"/>
      <c r="B31" s="22"/>
      <c r="C31" s="22"/>
      <c r="D31" s="22"/>
    </row>
    <row r="32" spans="1:4" x14ac:dyDescent="0.35">
      <c r="A32" s="28" t="s">
        <v>36</v>
      </c>
      <c r="B32" s="22"/>
      <c r="C32" s="22"/>
      <c r="D32" s="22"/>
    </row>
    <row r="33" spans="1:4" x14ac:dyDescent="0.35">
      <c r="A33" s="22" t="s">
        <v>16</v>
      </c>
      <c r="B33" s="29">
        <v>3.5000000000000003E-2</v>
      </c>
      <c r="C33" s="22" t="s">
        <v>33</v>
      </c>
      <c r="D33" s="115" t="s">
        <v>37</v>
      </c>
    </row>
    <row r="34" spans="1:4" x14ac:dyDescent="0.35">
      <c r="A34" s="22" t="s">
        <v>17</v>
      </c>
      <c r="B34" s="29">
        <v>6.5000000000000002E-2</v>
      </c>
      <c r="C34" s="22" t="s">
        <v>28</v>
      </c>
      <c r="D34" s="115" t="s">
        <v>30</v>
      </c>
    </row>
    <row r="35" spans="1:4" x14ac:dyDescent="0.35">
      <c r="A35" s="22" t="s">
        <v>18</v>
      </c>
      <c r="B35" s="29">
        <v>5.8000000000000003E-2</v>
      </c>
      <c r="C35" s="22" t="s">
        <v>33</v>
      </c>
      <c r="D35" s="115" t="s">
        <v>35</v>
      </c>
    </row>
    <row r="36" spans="1:4" x14ac:dyDescent="0.35">
      <c r="A36" s="30" t="s">
        <v>19</v>
      </c>
      <c r="B36" s="31">
        <v>0.02</v>
      </c>
      <c r="C36" s="30" t="s">
        <v>28</v>
      </c>
      <c r="D36" s="116" t="s">
        <v>38</v>
      </c>
    </row>
    <row r="38" spans="1:4" x14ac:dyDescent="0.35">
      <c r="A38" s="7" t="s">
        <v>39</v>
      </c>
      <c r="B38" s="8"/>
      <c r="C38" s="8"/>
    </row>
    <row r="39" spans="1:4" x14ac:dyDescent="0.35">
      <c r="A39" s="12" t="s">
        <v>40</v>
      </c>
      <c r="B39" s="13" t="s">
        <v>41</v>
      </c>
      <c r="C39" s="13" t="s">
        <v>42</v>
      </c>
    </row>
    <row r="40" spans="1:4" x14ac:dyDescent="0.35">
      <c r="A40" s="3" t="s">
        <v>43</v>
      </c>
      <c r="B40" s="14">
        <v>200</v>
      </c>
      <c r="C40" s="15">
        <f>B40/10000</f>
        <v>0.02</v>
      </c>
    </row>
    <row r="41" spans="1:4" x14ac:dyDescent="0.35">
      <c r="A41" s="3" t="s">
        <v>44</v>
      </c>
      <c r="B41" s="14">
        <v>100</v>
      </c>
      <c r="C41" s="15">
        <f>B41/10000</f>
        <v>0.01</v>
      </c>
    </row>
    <row r="42" spans="1:4" x14ac:dyDescent="0.35">
      <c r="A42" s="3" t="s">
        <v>45</v>
      </c>
      <c r="B42" s="14">
        <v>0</v>
      </c>
      <c r="C42" s="15">
        <f>B42/10000</f>
        <v>0</v>
      </c>
    </row>
    <row r="43" spans="1:4" x14ac:dyDescent="0.35">
      <c r="A43" s="3" t="s">
        <v>46</v>
      </c>
      <c r="B43" s="14">
        <v>-100</v>
      </c>
      <c r="C43" s="15">
        <f>B43/10000</f>
        <v>-0.01</v>
      </c>
    </row>
    <row r="44" spans="1:4" x14ac:dyDescent="0.35">
      <c r="A44" s="3" t="s">
        <v>47</v>
      </c>
      <c r="B44" s="14">
        <v>-200</v>
      </c>
      <c r="C44" s="15">
        <f>B44/10000</f>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FD6FF-0089-F946-A0AF-AB1C61F92293}">
  <dimension ref="A1:J25"/>
  <sheetViews>
    <sheetView workbookViewId="0">
      <selection activeCell="B21" sqref="B21:J22"/>
    </sheetView>
  </sheetViews>
  <sheetFormatPr baseColWidth="10" defaultRowHeight="29" x14ac:dyDescent="0.35"/>
  <cols>
    <col min="1" max="1" width="40" style="3" customWidth="1"/>
    <col min="2" max="2" width="24.6640625" style="3" customWidth="1"/>
    <col min="3" max="10" width="16.6640625" style="3" customWidth="1"/>
    <col min="11" max="16384" width="10.83203125" style="3"/>
  </cols>
  <sheetData>
    <row r="1" spans="1:10" x14ac:dyDescent="0.35">
      <c r="A1" s="2" t="s">
        <v>48</v>
      </c>
    </row>
    <row r="2" spans="1:10" x14ac:dyDescent="0.35">
      <c r="A2" s="40" t="s">
        <v>49</v>
      </c>
      <c r="B2" s="41">
        <f>Assumptions!B3</f>
        <v>45747</v>
      </c>
    </row>
    <row r="4" spans="1:10" x14ac:dyDescent="0.35">
      <c r="A4" s="7" t="s">
        <v>50</v>
      </c>
      <c r="B4" s="42" t="s">
        <v>51</v>
      </c>
      <c r="C4" s="42" t="s">
        <v>52</v>
      </c>
      <c r="D4" s="42" t="s">
        <v>53</v>
      </c>
      <c r="E4" s="42" t="s">
        <v>54</v>
      </c>
      <c r="F4" s="42" t="s">
        <v>55</v>
      </c>
      <c r="G4" s="42" t="s">
        <v>56</v>
      </c>
      <c r="H4" s="42" t="s">
        <v>57</v>
      </c>
      <c r="I4" s="42" t="s">
        <v>58</v>
      </c>
      <c r="J4" s="42" t="s">
        <v>59</v>
      </c>
    </row>
    <row r="5" spans="1:10" x14ac:dyDescent="0.35">
      <c r="A5" s="43" t="s">
        <v>60</v>
      </c>
      <c r="B5" s="126">
        <v>5500</v>
      </c>
      <c r="C5" s="126">
        <v>1500</v>
      </c>
      <c r="D5" s="126">
        <v>1000</v>
      </c>
      <c r="E5" s="126">
        <v>500</v>
      </c>
      <c r="F5" s="126">
        <v>0</v>
      </c>
      <c r="G5" s="126">
        <v>0</v>
      </c>
      <c r="H5" s="126">
        <v>0</v>
      </c>
      <c r="I5" s="126">
        <v>0</v>
      </c>
      <c r="J5" s="127">
        <f>SUM(B5:I5)</f>
        <v>8500</v>
      </c>
    </row>
    <row r="6" spans="1:10" x14ac:dyDescent="0.35">
      <c r="A6" s="3" t="s">
        <v>61</v>
      </c>
      <c r="B6" s="123">
        <v>1000</v>
      </c>
      <c r="C6" s="123">
        <v>1000</v>
      </c>
      <c r="D6" s="123">
        <v>2500</v>
      </c>
      <c r="E6" s="123">
        <v>3000</v>
      </c>
      <c r="F6" s="123">
        <v>4000</v>
      </c>
      <c r="G6" s="123">
        <v>5500</v>
      </c>
      <c r="H6" s="123">
        <v>3000</v>
      </c>
      <c r="I6" s="123">
        <v>2000</v>
      </c>
      <c r="J6" s="124">
        <f>SUM(B6:I6)</f>
        <v>22000</v>
      </c>
    </row>
    <row r="7" spans="1:10" x14ac:dyDescent="0.35">
      <c r="A7" s="43" t="s">
        <v>62</v>
      </c>
      <c r="B7" s="126">
        <v>2000</v>
      </c>
      <c r="C7" s="126">
        <v>2500</v>
      </c>
      <c r="D7" s="126">
        <v>5000</v>
      </c>
      <c r="E7" s="126">
        <v>7000</v>
      </c>
      <c r="F7" s="126">
        <v>9000</v>
      </c>
      <c r="G7" s="126">
        <v>14000</v>
      </c>
      <c r="H7" s="126">
        <v>9500</v>
      </c>
      <c r="I7" s="126">
        <v>6000</v>
      </c>
      <c r="J7" s="127">
        <f>SUM(B7:I7)</f>
        <v>55000</v>
      </c>
    </row>
    <row r="8" spans="1:10" x14ac:dyDescent="0.35">
      <c r="A8" s="3" t="s">
        <v>63</v>
      </c>
      <c r="B8" s="123">
        <v>2500</v>
      </c>
      <c r="C8" s="123">
        <v>1500</v>
      </c>
      <c r="D8" s="123">
        <v>1200</v>
      </c>
      <c r="E8" s="123">
        <v>500</v>
      </c>
      <c r="F8" s="123">
        <v>200</v>
      </c>
      <c r="G8" s="123">
        <v>100</v>
      </c>
      <c r="H8" s="123">
        <v>0</v>
      </c>
      <c r="I8" s="123">
        <v>0</v>
      </c>
      <c r="J8" s="124">
        <f>SUM(B8:I8)</f>
        <v>6000</v>
      </c>
    </row>
    <row r="9" spans="1:10" ht="30" thickBot="1" x14ac:dyDescent="0.4">
      <c r="A9" s="43" t="s">
        <v>64</v>
      </c>
      <c r="B9" s="126">
        <v>0</v>
      </c>
      <c r="C9" s="126">
        <v>0</v>
      </c>
      <c r="D9" s="126">
        <v>0</v>
      </c>
      <c r="E9" s="126">
        <v>0</v>
      </c>
      <c r="F9" s="126">
        <v>0</v>
      </c>
      <c r="G9" s="126">
        <v>0</v>
      </c>
      <c r="H9" s="126">
        <v>500</v>
      </c>
      <c r="I9" s="126">
        <v>3000</v>
      </c>
      <c r="J9" s="127">
        <f>SUM(B9:I9)</f>
        <v>3500</v>
      </c>
    </row>
    <row r="10" spans="1:10" ht="30" thickBot="1" x14ac:dyDescent="0.4">
      <c r="A10" s="49" t="s">
        <v>65</v>
      </c>
      <c r="B10" s="128">
        <f>SUM(B5:B9)</f>
        <v>11000</v>
      </c>
      <c r="C10" s="128">
        <f>SUM(C5:C9)</f>
        <v>6500</v>
      </c>
      <c r="D10" s="128">
        <f>SUM(D5:D9)</f>
        <v>9700</v>
      </c>
      <c r="E10" s="128">
        <f>SUM(E5:E9)</f>
        <v>11000</v>
      </c>
      <c r="F10" s="128">
        <f>SUM(F5:F9)</f>
        <v>13200</v>
      </c>
      <c r="G10" s="128">
        <f>SUM(G5:G9)</f>
        <v>19600</v>
      </c>
      <c r="H10" s="128">
        <f>SUM(H5:H9)</f>
        <v>13000</v>
      </c>
      <c r="I10" s="128">
        <f>SUM(I5:I9)</f>
        <v>11000</v>
      </c>
      <c r="J10" s="128">
        <f>SUM(J5:J9)</f>
        <v>95000</v>
      </c>
    </row>
    <row r="11" spans="1:10" ht="30" thickTop="1" x14ac:dyDescent="0.35"/>
    <row r="12" spans="1:10" x14ac:dyDescent="0.35">
      <c r="A12" s="44" t="s">
        <v>66</v>
      </c>
      <c r="B12" s="45" t="s">
        <v>51</v>
      </c>
      <c r="C12" s="45" t="s">
        <v>52</v>
      </c>
      <c r="D12" s="45" t="s">
        <v>53</v>
      </c>
      <c r="E12" s="45" t="s">
        <v>54</v>
      </c>
      <c r="F12" s="45" t="s">
        <v>55</v>
      </c>
      <c r="G12" s="45" t="s">
        <v>56</v>
      </c>
      <c r="H12" s="45" t="s">
        <v>57</v>
      </c>
      <c r="I12" s="45" t="s">
        <v>58</v>
      </c>
      <c r="J12" s="45" t="s">
        <v>59</v>
      </c>
    </row>
    <row r="13" spans="1:10" x14ac:dyDescent="0.35">
      <c r="A13" s="46" t="s">
        <v>67</v>
      </c>
      <c r="B13" s="121">
        <v>4200</v>
      </c>
      <c r="C13" s="121">
        <v>2800</v>
      </c>
      <c r="D13" s="121">
        <v>5600</v>
      </c>
      <c r="E13" s="121">
        <v>4200</v>
      </c>
      <c r="F13" s="121">
        <v>4200</v>
      </c>
      <c r="G13" s="121">
        <v>4200</v>
      </c>
      <c r="H13" s="121">
        <v>1400</v>
      </c>
      <c r="I13" s="121">
        <v>1400</v>
      </c>
      <c r="J13" s="122">
        <f>SUM(B13:I13)</f>
        <v>28000</v>
      </c>
    </row>
    <row r="14" spans="1:10" x14ac:dyDescent="0.35">
      <c r="A14" s="3" t="s">
        <v>68</v>
      </c>
      <c r="B14" s="123">
        <v>2000</v>
      </c>
      <c r="C14" s="123">
        <v>2500</v>
      </c>
      <c r="D14" s="123">
        <v>5000</v>
      </c>
      <c r="E14" s="123">
        <v>6000</v>
      </c>
      <c r="F14" s="123">
        <v>7500</v>
      </c>
      <c r="G14" s="123">
        <v>7000</v>
      </c>
      <c r="H14" s="123">
        <v>3000</v>
      </c>
      <c r="I14" s="123">
        <v>2000</v>
      </c>
      <c r="J14" s="124">
        <f>SUM(B14:I14)</f>
        <v>35000</v>
      </c>
    </row>
    <row r="15" spans="1:10" x14ac:dyDescent="0.35">
      <c r="A15" s="46" t="s">
        <v>69</v>
      </c>
      <c r="B15" s="121">
        <v>3000</v>
      </c>
      <c r="C15" s="121">
        <v>2500</v>
      </c>
      <c r="D15" s="121">
        <v>2500</v>
      </c>
      <c r="E15" s="121">
        <v>2000</v>
      </c>
      <c r="F15" s="121">
        <v>1000</v>
      </c>
      <c r="G15" s="121">
        <v>500</v>
      </c>
      <c r="H15" s="121">
        <v>300</v>
      </c>
      <c r="I15" s="121">
        <v>200</v>
      </c>
      <c r="J15" s="122">
        <f>SUM(B15:I15)</f>
        <v>12000</v>
      </c>
    </row>
    <row r="16" spans="1:10" x14ac:dyDescent="0.35">
      <c r="A16" s="3" t="s">
        <v>70</v>
      </c>
      <c r="B16" s="123">
        <v>500</v>
      </c>
      <c r="C16" s="123">
        <v>500</v>
      </c>
      <c r="D16" s="123">
        <v>500</v>
      </c>
      <c r="E16" s="123">
        <v>500</v>
      </c>
      <c r="F16" s="123">
        <v>500</v>
      </c>
      <c r="G16" s="123">
        <v>500</v>
      </c>
      <c r="H16" s="123">
        <v>500</v>
      </c>
      <c r="I16" s="123">
        <v>500</v>
      </c>
      <c r="J16" s="124">
        <f>SUM(B16:I16)</f>
        <v>4000</v>
      </c>
    </row>
    <row r="17" spans="1:10" ht="30" thickBot="1" x14ac:dyDescent="0.4">
      <c r="A17" s="46" t="s">
        <v>71</v>
      </c>
      <c r="B17" s="121">
        <v>0</v>
      </c>
      <c r="C17" s="121">
        <v>0</v>
      </c>
      <c r="D17" s="121">
        <v>0</v>
      </c>
      <c r="E17" s="121">
        <v>0</v>
      </c>
      <c r="F17" s="121">
        <v>0</v>
      </c>
      <c r="G17" s="121">
        <v>0</v>
      </c>
      <c r="H17" s="121">
        <v>0</v>
      </c>
      <c r="I17" s="121">
        <v>16000</v>
      </c>
      <c r="J17" s="122">
        <f>SUM(B17:I17)</f>
        <v>16000</v>
      </c>
    </row>
    <row r="18" spans="1:10" ht="30" thickBot="1" x14ac:dyDescent="0.4">
      <c r="A18" s="50" t="s">
        <v>72</v>
      </c>
      <c r="B18" s="125">
        <f>SUM(B13:B17)</f>
        <v>9700</v>
      </c>
      <c r="C18" s="125">
        <f>SUM(C13:C17)</f>
        <v>8300</v>
      </c>
      <c r="D18" s="125">
        <f>SUM(D13:D17)</f>
        <v>13600</v>
      </c>
      <c r="E18" s="125">
        <f>SUM(E13:E17)</f>
        <v>12700</v>
      </c>
      <c r="F18" s="125">
        <f>SUM(F13:F17)</f>
        <v>13200</v>
      </c>
      <c r="G18" s="125">
        <f>SUM(G13:G17)</f>
        <v>12200</v>
      </c>
      <c r="H18" s="125">
        <f>SUM(H13:H17)</f>
        <v>5200</v>
      </c>
      <c r="I18" s="125">
        <f>SUM(I13:I17)</f>
        <v>20100</v>
      </c>
      <c r="J18" s="125">
        <f>SUM(J13:J17)</f>
        <v>95000</v>
      </c>
    </row>
    <row r="19" spans="1:10" ht="30" thickTop="1" x14ac:dyDescent="0.35"/>
    <row r="20" spans="1:10" x14ac:dyDescent="0.35">
      <c r="A20" s="51" t="s">
        <v>73</v>
      </c>
      <c r="B20" s="52" t="s">
        <v>51</v>
      </c>
      <c r="C20" s="52" t="s">
        <v>52</v>
      </c>
      <c r="D20" s="52" t="s">
        <v>53</v>
      </c>
      <c r="E20" s="52" t="s">
        <v>54</v>
      </c>
      <c r="F20" s="52" t="s">
        <v>55</v>
      </c>
      <c r="G20" s="52" t="s">
        <v>56</v>
      </c>
      <c r="H20" s="52" t="s">
        <v>57</v>
      </c>
      <c r="I20" s="52" t="s">
        <v>58</v>
      </c>
      <c r="J20" s="52" t="s">
        <v>59</v>
      </c>
    </row>
    <row r="21" spans="1:10" x14ac:dyDescent="0.35">
      <c r="A21" s="4" t="s">
        <v>74</v>
      </c>
      <c r="B21" s="124">
        <f>B10-B18</f>
        <v>1300</v>
      </c>
      <c r="C21" s="124">
        <f>C10-C18</f>
        <v>-1800</v>
      </c>
      <c r="D21" s="124">
        <f>D10-D18</f>
        <v>-3900</v>
      </c>
      <c r="E21" s="124">
        <f>E10-E18</f>
        <v>-1700</v>
      </c>
      <c r="F21" s="124">
        <f>F10-F18</f>
        <v>0</v>
      </c>
      <c r="G21" s="124">
        <f>G10-G18</f>
        <v>7400</v>
      </c>
      <c r="H21" s="124">
        <f>H10-H18</f>
        <v>7800</v>
      </c>
      <c r="I21" s="124">
        <f>I10-I18</f>
        <v>-9100</v>
      </c>
      <c r="J21" s="124">
        <f>J10-J18</f>
        <v>0</v>
      </c>
    </row>
    <row r="22" spans="1:10" x14ac:dyDescent="0.35">
      <c r="A22" s="4" t="s">
        <v>75</v>
      </c>
      <c r="B22" s="124">
        <f>B21</f>
        <v>1300</v>
      </c>
      <c r="C22" s="124">
        <f>B22+C21</f>
        <v>-500</v>
      </c>
      <c r="D22" s="124">
        <f>C22+D21</f>
        <v>-4400</v>
      </c>
      <c r="E22" s="124">
        <f>D22+E21</f>
        <v>-6100</v>
      </c>
      <c r="F22" s="124">
        <f>E22+F21</f>
        <v>-6100</v>
      </c>
      <c r="G22" s="124">
        <f>F22+G21</f>
        <v>1300</v>
      </c>
      <c r="H22" s="124">
        <f>G22+H21</f>
        <v>9100</v>
      </c>
      <c r="I22" s="124">
        <f>H22+I21</f>
        <v>0</v>
      </c>
      <c r="J22" s="124">
        <f>I22</f>
        <v>0</v>
      </c>
    </row>
    <row r="23" spans="1:10" x14ac:dyDescent="0.35">
      <c r="A23" s="4" t="s">
        <v>76</v>
      </c>
      <c r="B23" s="10">
        <f>B21/J$10</f>
        <v>1.368421052631579E-2</v>
      </c>
      <c r="C23" s="10">
        <f>C21/J$10</f>
        <v>-1.8947368421052633E-2</v>
      </c>
      <c r="D23" s="10">
        <f>D21/J$10</f>
        <v>-4.1052631578947368E-2</v>
      </c>
      <c r="E23" s="10">
        <f>E21/J$10</f>
        <v>-1.7894736842105262E-2</v>
      </c>
      <c r="F23" s="10">
        <f>F21/J$10</f>
        <v>0</v>
      </c>
      <c r="G23" s="10">
        <f>G21/J$10</f>
        <v>7.7894736842105267E-2</v>
      </c>
      <c r="H23" s="10">
        <f>H21/J$10</f>
        <v>8.2105263157894737E-2</v>
      </c>
      <c r="I23" s="10">
        <f>I21/J$10</f>
        <v>-9.5789473684210522E-2</v>
      </c>
      <c r="J23" s="10">
        <f>J21/J$10</f>
        <v>0</v>
      </c>
    </row>
    <row r="24" spans="1:10" x14ac:dyDescent="0.35">
      <c r="A24" s="4" t="s">
        <v>77</v>
      </c>
      <c r="B24" s="10">
        <f>B22/J$10</f>
        <v>1.368421052631579E-2</v>
      </c>
      <c r="C24" s="10">
        <f>C22/J$10</f>
        <v>-5.263157894736842E-3</v>
      </c>
      <c r="D24" s="10">
        <f>D22/J$10</f>
        <v>-4.6315789473684213E-2</v>
      </c>
      <c r="E24" s="10">
        <f>E22/J$10</f>
        <v>-6.4210526315789468E-2</v>
      </c>
      <c r="F24" s="10">
        <f>F22/J$10</f>
        <v>-6.4210526315789468E-2</v>
      </c>
      <c r="G24" s="10">
        <f>G22/J$10</f>
        <v>1.368421052631579E-2</v>
      </c>
      <c r="H24" s="10">
        <f>H22/J$10</f>
        <v>9.5789473684210522E-2</v>
      </c>
      <c r="I24" s="10">
        <f>I22/J$10</f>
        <v>0</v>
      </c>
      <c r="J24" s="10">
        <f>J22/J$10</f>
        <v>0</v>
      </c>
    </row>
    <row r="25" spans="1:10" x14ac:dyDescent="0.35">
      <c r="A25" s="4" t="s">
        <v>78</v>
      </c>
      <c r="B25" s="48">
        <f>IF(B18=0,"-",B21/B18)</f>
        <v>0.13402061855670103</v>
      </c>
      <c r="C25" s="48">
        <f>IF(C18=0,"-",C21/C18)</f>
        <v>-0.21686746987951808</v>
      </c>
      <c r="D25" s="48">
        <f>IF(D18=0,"-",D21/D18)</f>
        <v>-0.28676470588235292</v>
      </c>
      <c r="E25" s="48">
        <f>IF(E18=0,"-",E21/E18)</f>
        <v>-0.13385826771653545</v>
      </c>
      <c r="F25" s="48">
        <f>IF(F18=0,"-",F21/F18)</f>
        <v>0</v>
      </c>
      <c r="G25" s="48">
        <f>IF(G18=0,"-",G21/G18)</f>
        <v>0.60655737704918034</v>
      </c>
      <c r="H25" s="48">
        <f>IF(H18=0,"-",H21/H18)</f>
        <v>1.5</v>
      </c>
      <c r="I25" s="48">
        <f>IF(I18=0,"-",I21/I18)</f>
        <v>-0.45273631840796019</v>
      </c>
      <c r="J25" s="48">
        <f>IF(J18=0,"-",J21/J18)</f>
        <v>0</v>
      </c>
    </row>
  </sheetData>
  <conditionalFormatting sqref="B21:I21">
    <cfRule type="cellIs" dxfId="29" priority="1" operator="lessThan">
      <formula>0</formula>
    </cfRule>
  </conditionalFormatting>
  <conditionalFormatting sqref="B21:I21">
    <cfRule type="cellIs" dxfId="28" priority="2" operator="greaterThan">
      <formula>0</formula>
    </cfRule>
  </conditionalFormatting>
  <conditionalFormatting sqref="B22:I22">
    <cfRule type="cellIs" dxfId="27" priority="3" operator="lessThan">
      <formula>0</formula>
    </cfRule>
  </conditionalFormatting>
  <conditionalFormatting sqref="B22:I22">
    <cfRule type="cellIs" dxfId="26" priority="4" operator="greater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9770-D44E-F543-A58E-DCC1A816A83B}">
  <dimension ref="A1:J34"/>
  <sheetViews>
    <sheetView workbookViewId="0">
      <selection activeCell="D18" sqref="D18"/>
    </sheetView>
  </sheetViews>
  <sheetFormatPr baseColWidth="10" defaultColWidth="19" defaultRowHeight="29" x14ac:dyDescent="0.35"/>
  <cols>
    <col min="1" max="1" width="43.33203125" style="3" customWidth="1"/>
    <col min="2" max="2" width="29.5" style="3" customWidth="1"/>
    <col min="3" max="10" width="16.6640625" style="3" customWidth="1"/>
    <col min="11" max="16384" width="19" style="3"/>
  </cols>
  <sheetData>
    <row r="1" spans="1:10" x14ac:dyDescent="0.35">
      <c r="A1" s="2" t="s">
        <v>79</v>
      </c>
    </row>
    <row r="2" spans="1:10" x14ac:dyDescent="0.35">
      <c r="A2" s="40" t="s">
        <v>80</v>
      </c>
      <c r="B2" s="41">
        <f>Assumptions!B3</f>
        <v>45747</v>
      </c>
    </row>
    <row r="4" spans="1:10" x14ac:dyDescent="0.35">
      <c r="A4" s="51" t="s">
        <v>81</v>
      </c>
      <c r="B4" s="52" t="s">
        <v>51</v>
      </c>
      <c r="C4" s="52" t="s">
        <v>52</v>
      </c>
      <c r="D4" s="52" t="s">
        <v>53</v>
      </c>
      <c r="E4" s="52" t="s">
        <v>54</v>
      </c>
      <c r="F4" s="52" t="s">
        <v>55</v>
      </c>
      <c r="G4" s="52" t="s">
        <v>56</v>
      </c>
      <c r="H4" s="52" t="s">
        <v>57</v>
      </c>
      <c r="I4" s="52" t="s">
        <v>58</v>
      </c>
      <c r="J4" s="52" t="s">
        <v>59</v>
      </c>
    </row>
    <row r="5" spans="1:10" x14ac:dyDescent="0.35">
      <c r="A5" s="55" t="s">
        <v>82</v>
      </c>
      <c r="B5" s="129">
        <v>5500</v>
      </c>
      <c r="C5" s="129">
        <v>1500</v>
      </c>
      <c r="D5" s="129">
        <v>1000</v>
      </c>
      <c r="E5" s="129">
        <v>0</v>
      </c>
      <c r="F5" s="129">
        <v>0</v>
      </c>
      <c r="G5" s="129">
        <v>0</v>
      </c>
      <c r="H5" s="129">
        <v>0</v>
      </c>
      <c r="I5" s="129">
        <v>0</v>
      </c>
      <c r="J5" s="130">
        <f>SUM(B5:I5)</f>
        <v>8000</v>
      </c>
    </row>
    <row r="6" spans="1:10" x14ac:dyDescent="0.35">
      <c r="A6" s="56" t="s">
        <v>83</v>
      </c>
      <c r="B6" s="123">
        <v>1000</v>
      </c>
      <c r="C6" s="123">
        <v>1000</v>
      </c>
      <c r="D6" s="123">
        <v>2500</v>
      </c>
      <c r="E6" s="123">
        <v>3000</v>
      </c>
      <c r="F6" s="123">
        <v>4000</v>
      </c>
      <c r="G6" s="123">
        <v>5500</v>
      </c>
      <c r="H6" s="123">
        <v>3000</v>
      </c>
      <c r="I6" s="123">
        <v>2000</v>
      </c>
      <c r="J6" s="124">
        <f>SUM(B6:I6)</f>
        <v>22000</v>
      </c>
    </row>
    <row r="7" spans="1:10" x14ac:dyDescent="0.35">
      <c r="A7" s="55" t="s">
        <v>84</v>
      </c>
      <c r="B7" s="129">
        <v>3500</v>
      </c>
      <c r="C7" s="129">
        <v>2000</v>
      </c>
      <c r="D7" s="129">
        <v>8000</v>
      </c>
      <c r="E7" s="129">
        <v>5500</v>
      </c>
      <c r="F7" s="129">
        <v>4000</v>
      </c>
      <c r="G7" s="129">
        <v>3000</v>
      </c>
      <c r="H7" s="129">
        <v>1500</v>
      </c>
      <c r="I7" s="129">
        <v>500</v>
      </c>
      <c r="J7" s="130">
        <f>SUM(B7:I7)</f>
        <v>28000</v>
      </c>
    </row>
    <row r="8" spans="1:10" x14ac:dyDescent="0.35">
      <c r="A8" s="56" t="s">
        <v>85</v>
      </c>
      <c r="B8" s="123">
        <v>500</v>
      </c>
      <c r="C8" s="123">
        <v>1000</v>
      </c>
      <c r="D8" s="123">
        <v>2500</v>
      </c>
      <c r="E8" s="123">
        <v>3000</v>
      </c>
      <c r="F8" s="123">
        <v>4500</v>
      </c>
      <c r="G8" s="123">
        <v>6500</v>
      </c>
      <c r="H8" s="123">
        <v>4000</v>
      </c>
      <c r="I8" s="123">
        <v>5000</v>
      </c>
      <c r="J8" s="124">
        <f>SUM(B8:I8)</f>
        <v>27000</v>
      </c>
    </row>
    <row r="9" spans="1:10" ht="30" thickBot="1" x14ac:dyDescent="0.4">
      <c r="A9" s="55" t="s">
        <v>63</v>
      </c>
      <c r="B9" s="129">
        <v>2500</v>
      </c>
      <c r="C9" s="129">
        <v>1500</v>
      </c>
      <c r="D9" s="129">
        <v>1200</v>
      </c>
      <c r="E9" s="129">
        <v>500</v>
      </c>
      <c r="F9" s="129">
        <v>200</v>
      </c>
      <c r="G9" s="129">
        <v>100</v>
      </c>
      <c r="H9" s="129">
        <v>0</v>
      </c>
      <c r="I9" s="129">
        <v>0</v>
      </c>
      <c r="J9" s="130">
        <f>SUM(B9:I9)</f>
        <v>6000</v>
      </c>
    </row>
    <row r="10" spans="1:10" ht="30" thickBot="1" x14ac:dyDescent="0.4">
      <c r="A10" s="71" t="s">
        <v>86</v>
      </c>
      <c r="B10" s="131">
        <f>SUM(B5:B9)</f>
        <v>13000</v>
      </c>
      <c r="C10" s="131">
        <f>SUM(C5:C9)</f>
        <v>7000</v>
      </c>
      <c r="D10" s="131">
        <f>SUM(D5:D9)</f>
        <v>15200</v>
      </c>
      <c r="E10" s="131">
        <f>SUM(E5:E9)</f>
        <v>12000</v>
      </c>
      <c r="F10" s="131">
        <f>SUM(F5:F9)</f>
        <v>12700</v>
      </c>
      <c r="G10" s="131">
        <f>SUM(G5:G9)</f>
        <v>15100</v>
      </c>
      <c r="H10" s="131">
        <f>SUM(H5:H9)</f>
        <v>8500</v>
      </c>
      <c r="I10" s="131">
        <f>SUM(I5:I9)</f>
        <v>7500</v>
      </c>
      <c r="J10" s="131">
        <f>SUM(J5:J9)</f>
        <v>91000</v>
      </c>
    </row>
    <row r="11" spans="1:10" ht="30" thickTop="1" x14ac:dyDescent="0.35"/>
    <row r="12" spans="1:10" x14ac:dyDescent="0.35">
      <c r="A12" s="57" t="s">
        <v>87</v>
      </c>
      <c r="B12" s="58" t="s">
        <v>51</v>
      </c>
      <c r="C12" s="58" t="s">
        <v>52</v>
      </c>
      <c r="D12" s="58" t="s">
        <v>53</v>
      </c>
      <c r="E12" s="58" t="s">
        <v>54</v>
      </c>
      <c r="F12" s="58" t="s">
        <v>55</v>
      </c>
      <c r="G12" s="58" t="s">
        <v>56</v>
      </c>
      <c r="H12" s="58" t="s">
        <v>57</v>
      </c>
      <c r="I12" s="58" t="s">
        <v>58</v>
      </c>
      <c r="J12" s="58" t="s">
        <v>59</v>
      </c>
    </row>
    <row r="13" spans="1:10" x14ac:dyDescent="0.35">
      <c r="A13" s="46" t="s">
        <v>88</v>
      </c>
      <c r="B13" s="121">
        <v>4200</v>
      </c>
      <c r="C13" s="121">
        <v>2800</v>
      </c>
      <c r="D13" s="121">
        <v>5600</v>
      </c>
      <c r="E13" s="121">
        <v>4200</v>
      </c>
      <c r="F13" s="121">
        <v>4200</v>
      </c>
      <c r="G13" s="121">
        <v>4200</v>
      </c>
      <c r="H13" s="121">
        <v>1400</v>
      </c>
      <c r="I13" s="121">
        <v>1400</v>
      </c>
      <c r="J13" s="122">
        <f>SUM(B13:I13)</f>
        <v>28000</v>
      </c>
    </row>
    <row r="14" spans="1:10" x14ac:dyDescent="0.35">
      <c r="A14" s="3" t="s">
        <v>89</v>
      </c>
      <c r="B14" s="123">
        <v>2000</v>
      </c>
      <c r="C14" s="123">
        <v>2500</v>
      </c>
      <c r="D14" s="123">
        <v>5000</v>
      </c>
      <c r="E14" s="123">
        <v>6000</v>
      </c>
      <c r="F14" s="123">
        <v>7500</v>
      </c>
      <c r="G14" s="123">
        <v>7000</v>
      </c>
      <c r="H14" s="123">
        <v>3000</v>
      </c>
      <c r="I14" s="123">
        <v>2000</v>
      </c>
      <c r="J14" s="124">
        <f>SUM(B14:I14)</f>
        <v>35000</v>
      </c>
    </row>
    <row r="15" spans="1:10" x14ac:dyDescent="0.35">
      <c r="A15" s="46" t="s">
        <v>90</v>
      </c>
      <c r="B15" s="121">
        <v>3000</v>
      </c>
      <c r="C15" s="121">
        <v>2500</v>
      </c>
      <c r="D15" s="121">
        <v>2500</v>
      </c>
      <c r="E15" s="121">
        <v>2000</v>
      </c>
      <c r="F15" s="121">
        <v>1000</v>
      </c>
      <c r="G15" s="121">
        <v>500</v>
      </c>
      <c r="H15" s="121">
        <v>300</v>
      </c>
      <c r="I15" s="121">
        <v>200</v>
      </c>
      <c r="J15" s="122">
        <f>SUM(B15:I15)</f>
        <v>12000</v>
      </c>
    </row>
    <row r="16" spans="1:10" ht="30" thickBot="1" x14ac:dyDescent="0.4">
      <c r="A16" s="3" t="s">
        <v>91</v>
      </c>
      <c r="B16" s="123">
        <v>300</v>
      </c>
      <c r="C16" s="123">
        <v>200</v>
      </c>
      <c r="D16" s="123">
        <v>300</v>
      </c>
      <c r="E16" s="123">
        <v>200</v>
      </c>
      <c r="F16" s="123">
        <v>300</v>
      </c>
      <c r="G16" s="123">
        <v>200</v>
      </c>
      <c r="H16" s="123">
        <v>200</v>
      </c>
      <c r="I16" s="123">
        <v>200</v>
      </c>
      <c r="J16" s="124">
        <f>SUM(B16:I16)</f>
        <v>1900</v>
      </c>
    </row>
    <row r="17" spans="1:10" ht="30" thickBot="1" x14ac:dyDescent="0.4">
      <c r="A17" s="50" t="s">
        <v>92</v>
      </c>
      <c r="B17" s="125">
        <f>SUM(B13:B16)</f>
        <v>9500</v>
      </c>
      <c r="C17" s="125">
        <f>SUM(C13:C16)</f>
        <v>8000</v>
      </c>
      <c r="D17" s="125">
        <f>SUM(D13:D16)</f>
        <v>13400</v>
      </c>
      <c r="E17" s="125">
        <f>SUM(E13:E16)</f>
        <v>12400</v>
      </c>
      <c r="F17" s="125">
        <f>SUM(F13:F16)</f>
        <v>13000</v>
      </c>
      <c r="G17" s="125">
        <f>SUM(G13:G16)</f>
        <v>11900</v>
      </c>
      <c r="H17" s="125">
        <f>SUM(H13:H16)</f>
        <v>4900</v>
      </c>
      <c r="I17" s="125">
        <f>SUM(I13:I16)</f>
        <v>3800</v>
      </c>
      <c r="J17" s="125">
        <f>SUM(J13:J16)</f>
        <v>76900</v>
      </c>
    </row>
    <row r="18" spans="1:10" ht="30" thickTop="1" x14ac:dyDescent="0.35"/>
    <row r="19" spans="1:10" x14ac:dyDescent="0.35">
      <c r="A19" s="61" t="s">
        <v>93</v>
      </c>
      <c r="B19" s="62" t="s">
        <v>51</v>
      </c>
      <c r="C19" s="62" t="s">
        <v>52</v>
      </c>
      <c r="D19" s="62" t="s">
        <v>53</v>
      </c>
      <c r="E19" s="62" t="s">
        <v>54</v>
      </c>
      <c r="F19" s="62" t="s">
        <v>55</v>
      </c>
      <c r="G19" s="62" t="s">
        <v>56</v>
      </c>
      <c r="H19" s="62" t="s">
        <v>57</v>
      </c>
      <c r="I19" s="62" t="s">
        <v>58</v>
      </c>
      <c r="J19" s="62" t="s">
        <v>59</v>
      </c>
    </row>
    <row r="20" spans="1:10" x14ac:dyDescent="0.35">
      <c r="A20" s="4" t="s">
        <v>94</v>
      </c>
      <c r="B20" s="124">
        <f>B10-B17</f>
        <v>3500</v>
      </c>
      <c r="C20" s="124">
        <f>C10-C17</f>
        <v>-1000</v>
      </c>
      <c r="D20" s="124">
        <f>D10-D17</f>
        <v>1800</v>
      </c>
      <c r="E20" s="124">
        <f>E10-E17</f>
        <v>-400</v>
      </c>
      <c r="F20" s="124">
        <f>F10-F17</f>
        <v>-300</v>
      </c>
      <c r="G20" s="124">
        <f>G10-G17</f>
        <v>3200</v>
      </c>
      <c r="H20" s="124">
        <f>H10-H17</f>
        <v>3600</v>
      </c>
      <c r="I20" s="124">
        <f>I10-I17</f>
        <v>3700</v>
      </c>
      <c r="J20" s="124">
        <f>J10-J17</f>
        <v>14100</v>
      </c>
    </row>
    <row r="21" spans="1:10" x14ac:dyDescent="0.35">
      <c r="A21" s="4" t="s">
        <v>95</v>
      </c>
      <c r="B21" s="124">
        <f>B20</f>
        <v>3500</v>
      </c>
      <c r="C21" s="124">
        <f>B21+C20</f>
        <v>2500</v>
      </c>
      <c r="D21" s="124">
        <f>C21+D20</f>
        <v>4300</v>
      </c>
      <c r="E21" s="124">
        <f>D21+E20</f>
        <v>3900</v>
      </c>
      <c r="F21" s="124">
        <f>E21+F20</f>
        <v>3600</v>
      </c>
      <c r="G21" s="124">
        <f>F21+G20</f>
        <v>6800</v>
      </c>
      <c r="H21" s="124">
        <f>G21+H20</f>
        <v>10400</v>
      </c>
      <c r="I21" s="124">
        <f>H21+I20</f>
        <v>14100</v>
      </c>
      <c r="J21" s="124">
        <f>I21</f>
        <v>14100</v>
      </c>
    </row>
    <row r="22" spans="1:10" x14ac:dyDescent="0.35">
      <c r="A22" s="4" t="s">
        <v>96</v>
      </c>
      <c r="B22" s="60">
        <f>IF(B17=0,"-",B10/B17)</f>
        <v>1.368421052631579</v>
      </c>
      <c r="C22" s="60">
        <f>IF(C17=0,"-",C10/C17)</f>
        <v>0.875</v>
      </c>
      <c r="D22" s="60">
        <f>IF(D17=0,"-",D10/D17)</f>
        <v>1.1343283582089552</v>
      </c>
      <c r="E22" s="60">
        <f>IF(E17=0,"-",E10/E17)</f>
        <v>0.967741935483871</v>
      </c>
      <c r="F22" s="60">
        <f>IF(F17=0,"-",F10/F17)</f>
        <v>0.97692307692307689</v>
      </c>
      <c r="G22" s="60">
        <f>IF(G17=0,"-",G10/G17)</f>
        <v>1.26890756302521</v>
      </c>
      <c r="H22" s="60">
        <f>IF(H17=0,"-",H10/H17)</f>
        <v>1.7346938775510203</v>
      </c>
      <c r="I22" s="60">
        <f>IF(I17=0,"-",I10/I17)</f>
        <v>1.9736842105263157</v>
      </c>
      <c r="J22" s="60">
        <f>IF(J17=0,"-",J10/J17)</f>
        <v>1.1833550065019507</v>
      </c>
    </row>
    <row r="23" spans="1:10" x14ac:dyDescent="0.35">
      <c r="A23" s="4" t="s">
        <v>97</v>
      </c>
      <c r="B23" s="10">
        <f>B20/J$10</f>
        <v>3.8461538461538464E-2</v>
      </c>
      <c r="C23" s="10">
        <f>C20/J$10</f>
        <v>-1.098901098901099E-2</v>
      </c>
      <c r="D23" s="10">
        <f>D20/J$10</f>
        <v>1.9780219780219779E-2</v>
      </c>
      <c r="E23" s="10">
        <f>E20/J$10</f>
        <v>-4.3956043956043956E-3</v>
      </c>
      <c r="F23" s="10">
        <f>F20/J$10</f>
        <v>-3.2967032967032967E-3</v>
      </c>
      <c r="G23" s="10">
        <f>G20/J$10</f>
        <v>3.5164835164835165E-2</v>
      </c>
      <c r="H23" s="10">
        <f>H20/J$10</f>
        <v>3.9560439560439559E-2</v>
      </c>
      <c r="I23" s="10">
        <f>I20/J$10</f>
        <v>4.0659340659340661E-2</v>
      </c>
      <c r="J23" s="10">
        <f>J20/J$10</f>
        <v>0.15494505494505495</v>
      </c>
    </row>
    <row r="25" spans="1:10" x14ac:dyDescent="0.35">
      <c r="A25" s="59" t="s">
        <v>98</v>
      </c>
      <c r="B25" s="63"/>
      <c r="C25" s="63"/>
      <c r="D25" s="63"/>
      <c r="E25" s="63"/>
      <c r="F25" s="63"/>
    </row>
    <row r="26" spans="1:10" x14ac:dyDescent="0.35">
      <c r="A26" s="12" t="s">
        <v>109</v>
      </c>
      <c r="B26" s="132">
        <f>SUM(B20:F20)</f>
        <v>3600</v>
      </c>
      <c r="C26" s="70"/>
      <c r="D26" s="70"/>
      <c r="E26" s="70"/>
      <c r="F26" s="70"/>
      <c r="G26" s="64"/>
      <c r="H26" s="64"/>
      <c r="I26" s="64"/>
    </row>
    <row r="27" spans="1:10" ht="90" x14ac:dyDescent="0.35">
      <c r="A27" s="12" t="s">
        <v>99</v>
      </c>
      <c r="B27" s="72" t="s">
        <v>100</v>
      </c>
      <c r="C27" s="13" t="s">
        <v>101</v>
      </c>
      <c r="D27" s="13" t="s">
        <v>102</v>
      </c>
    </row>
    <row r="28" spans="1:10" x14ac:dyDescent="0.35">
      <c r="A28" s="2" t="s">
        <v>103</v>
      </c>
      <c r="B28" s="65">
        <f>Assumptions!B8*Assumptions!B26+Assumptions!B9*Assumptions!B27+Assumptions!B10*((Assumptions!B28+Assumptions!B29)/2)+Assumptions!B11*Assumptions!B30-Assumptions!B16*Assumptions!B33-Assumptions!B17*Assumptions!B34-Assumptions!B18*Assumptions!B35-Assumptions!B19*Assumptions!B36</f>
        <v>3005.25</v>
      </c>
    </row>
    <row r="30" spans="1:10" x14ac:dyDescent="0.35">
      <c r="A30" s="4" t="s">
        <v>104</v>
      </c>
      <c r="B30" s="47">
        <f>B$26*Assumptions!C40</f>
        <v>72</v>
      </c>
      <c r="C30" s="9">
        <f>B30/B$28</f>
        <v>2.3958073371599699E-2</v>
      </c>
      <c r="D30" s="9">
        <f>B30/Assumptions!B20</f>
        <v>4.4999999999999997E-3</v>
      </c>
    </row>
    <row r="31" spans="1:10" x14ac:dyDescent="0.35">
      <c r="A31" s="4" t="s">
        <v>105</v>
      </c>
      <c r="B31" s="47">
        <f>B$26*Assumptions!C41</f>
        <v>36</v>
      </c>
      <c r="C31" s="9">
        <f>B31/B$28</f>
        <v>1.1979036685799849E-2</v>
      </c>
      <c r="D31" s="9">
        <f>B31/Assumptions!B20</f>
        <v>2.2499999999999998E-3</v>
      </c>
    </row>
    <row r="32" spans="1:10" x14ac:dyDescent="0.35">
      <c r="A32" s="66" t="s">
        <v>106</v>
      </c>
      <c r="B32" s="68">
        <v>0</v>
      </c>
      <c r="C32" s="69">
        <v>0</v>
      </c>
      <c r="D32" s="69">
        <v>0</v>
      </c>
    </row>
    <row r="33" spans="1:4" x14ac:dyDescent="0.35">
      <c r="A33" s="4" t="s">
        <v>107</v>
      </c>
      <c r="B33" s="47">
        <f>B$26*Assumptions!C43</f>
        <v>-36</v>
      </c>
      <c r="C33" s="9">
        <f>B33/B$28</f>
        <v>-1.1979036685799849E-2</v>
      </c>
      <c r="D33" s="9">
        <f>B33/Assumptions!B20</f>
        <v>-2.2499999999999998E-3</v>
      </c>
    </row>
    <row r="34" spans="1:4" x14ac:dyDescent="0.35">
      <c r="A34" s="4" t="s">
        <v>108</v>
      </c>
      <c r="B34" s="47">
        <f>B$26*Assumptions!C44</f>
        <v>-72</v>
      </c>
      <c r="C34" s="9">
        <f>B34/B$28</f>
        <v>-2.3958073371599699E-2</v>
      </c>
      <c r="D34" s="9">
        <f>B34/Assumptions!B20</f>
        <v>-4.4999999999999997E-3</v>
      </c>
    </row>
  </sheetData>
  <conditionalFormatting sqref="B20:I20">
    <cfRule type="cellIs" dxfId="25" priority="1" operator="lessThan">
      <formula>0</formula>
    </cfRule>
  </conditionalFormatting>
  <conditionalFormatting sqref="B20:I20">
    <cfRule type="cellIs" dxfId="24" priority="2" operator="greaterThan">
      <formula>0</formula>
    </cfRule>
  </conditionalFormatting>
  <conditionalFormatting sqref="B21:I21">
    <cfRule type="cellIs" dxfId="23" priority="3" operator="lessThan">
      <formula>0</formula>
    </cfRule>
  </conditionalFormatting>
  <conditionalFormatting sqref="B21:I21">
    <cfRule type="cellIs" dxfId="22" priority="4" operator="greaterThan">
      <formula>0</formula>
    </cfRule>
  </conditionalFormatting>
  <conditionalFormatting sqref="B30:B34">
    <cfRule type="cellIs" dxfId="21" priority="5" operator="lessThan">
      <formula>0</formula>
    </cfRule>
  </conditionalFormatting>
  <conditionalFormatting sqref="B30:B34">
    <cfRule type="cellIs" dxfId="20" priority="6" operator="greaterThan">
      <formula>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A6A0F-6B93-B040-B1D6-3A8F817293AD}">
  <dimension ref="A1:C50"/>
  <sheetViews>
    <sheetView workbookViewId="0">
      <pane ySplit="1" topLeftCell="A47" activePane="bottomLeft" state="frozen"/>
      <selection pane="bottomLeft" activeCell="C18" sqref="C18"/>
    </sheetView>
  </sheetViews>
  <sheetFormatPr baseColWidth="10" defaultRowHeight="29" x14ac:dyDescent="0.35"/>
  <cols>
    <col min="1" max="1" width="50" style="3" customWidth="1"/>
    <col min="2" max="2" width="141" style="3" customWidth="1"/>
    <col min="3" max="3" width="30" style="3" customWidth="1"/>
    <col min="4" max="16384" width="10.83203125" style="3"/>
  </cols>
  <sheetData>
    <row r="1" spans="1:3" x14ac:dyDescent="0.35">
      <c r="A1" s="7" t="s">
        <v>161</v>
      </c>
      <c r="B1" s="8"/>
      <c r="C1" s="8"/>
    </row>
    <row r="2" spans="1:3" x14ac:dyDescent="0.35">
      <c r="A2" s="40" t="s">
        <v>162</v>
      </c>
    </row>
    <row r="4" spans="1:3" x14ac:dyDescent="0.35">
      <c r="A4" s="51" t="s">
        <v>163</v>
      </c>
      <c r="B4" s="76"/>
      <c r="C4" s="76"/>
    </row>
    <row r="5" spans="1:3" x14ac:dyDescent="0.35">
      <c r="A5" s="133" t="s">
        <v>164</v>
      </c>
      <c r="B5" s="133" t="s">
        <v>165</v>
      </c>
      <c r="C5" s="133" t="s">
        <v>166</v>
      </c>
    </row>
    <row r="6" spans="1:3" ht="176" customHeight="1" x14ac:dyDescent="0.35">
      <c r="A6" s="141" t="s">
        <v>167</v>
      </c>
      <c r="B6" s="142" t="s">
        <v>168</v>
      </c>
      <c r="C6" s="142" t="s">
        <v>169</v>
      </c>
    </row>
    <row r="7" spans="1:3" ht="110" customHeight="1" x14ac:dyDescent="0.35">
      <c r="A7" s="143" t="s">
        <v>170</v>
      </c>
      <c r="B7" s="144" t="s">
        <v>171</v>
      </c>
      <c r="C7" s="144" t="s">
        <v>172</v>
      </c>
    </row>
    <row r="8" spans="1:3" ht="110" customHeight="1" x14ac:dyDescent="0.35">
      <c r="A8" s="143" t="s">
        <v>173</v>
      </c>
      <c r="B8" s="144" t="s">
        <v>174</v>
      </c>
      <c r="C8" s="144" t="s">
        <v>175</v>
      </c>
    </row>
    <row r="9" spans="1:3" ht="110" customHeight="1" x14ac:dyDescent="0.35">
      <c r="A9" s="143" t="s">
        <v>176</v>
      </c>
      <c r="B9" s="144" t="s">
        <v>177</v>
      </c>
      <c r="C9" s="144" t="s">
        <v>178</v>
      </c>
    </row>
    <row r="10" spans="1:3" x14ac:dyDescent="0.35">
      <c r="A10" s="136"/>
      <c r="B10" s="136"/>
      <c r="C10" s="136"/>
    </row>
    <row r="11" spans="1:3" ht="60" x14ac:dyDescent="0.35">
      <c r="A11" s="137" t="s">
        <v>179</v>
      </c>
      <c r="B11" s="138"/>
      <c r="C11" s="138"/>
    </row>
    <row r="12" spans="1:3" ht="30" x14ac:dyDescent="0.35">
      <c r="A12" s="139" t="s">
        <v>164</v>
      </c>
      <c r="B12" s="139" t="s">
        <v>165</v>
      </c>
      <c r="C12" s="139" t="s">
        <v>166</v>
      </c>
    </row>
    <row r="13" spans="1:3" ht="110" customHeight="1" x14ac:dyDescent="0.35">
      <c r="A13" s="141" t="s">
        <v>180</v>
      </c>
      <c r="B13" s="142" t="s">
        <v>181</v>
      </c>
      <c r="C13" s="142" t="s">
        <v>182</v>
      </c>
    </row>
    <row r="14" spans="1:3" ht="110" customHeight="1" x14ac:dyDescent="0.35">
      <c r="A14" s="143" t="s">
        <v>183</v>
      </c>
      <c r="B14" s="144" t="s">
        <v>184</v>
      </c>
      <c r="C14" s="144" t="s">
        <v>185</v>
      </c>
    </row>
    <row r="15" spans="1:3" ht="110" customHeight="1" x14ac:dyDescent="0.35">
      <c r="A15" s="143" t="s">
        <v>186</v>
      </c>
      <c r="B15" s="144" t="s">
        <v>187</v>
      </c>
      <c r="C15" s="144" t="s">
        <v>188</v>
      </c>
    </row>
    <row r="16" spans="1:3" ht="110" customHeight="1" x14ac:dyDescent="0.35">
      <c r="A16" s="143" t="s">
        <v>189</v>
      </c>
      <c r="B16" s="144" t="s">
        <v>190</v>
      </c>
      <c r="C16" s="144" t="s">
        <v>191</v>
      </c>
    </row>
    <row r="17" spans="1:3" ht="110" customHeight="1" x14ac:dyDescent="0.35">
      <c r="A17" s="143" t="s">
        <v>192</v>
      </c>
      <c r="B17" s="144" t="s">
        <v>193</v>
      </c>
      <c r="C17" s="144" t="s">
        <v>194</v>
      </c>
    </row>
    <row r="18" spans="1:3" ht="110" customHeight="1" x14ac:dyDescent="0.35">
      <c r="A18" s="143" t="s">
        <v>195</v>
      </c>
      <c r="B18" s="144" t="s">
        <v>196</v>
      </c>
      <c r="C18" s="144" t="s">
        <v>197</v>
      </c>
    </row>
    <row r="19" spans="1:3" x14ac:dyDescent="0.35">
      <c r="A19" s="136"/>
      <c r="B19" s="136"/>
      <c r="C19" s="136"/>
    </row>
    <row r="20" spans="1:3" ht="60" x14ac:dyDescent="0.35">
      <c r="A20" s="137" t="s">
        <v>198</v>
      </c>
      <c r="B20" s="138"/>
      <c r="C20" s="138"/>
    </row>
    <row r="21" spans="1:3" ht="30" x14ac:dyDescent="0.35">
      <c r="A21" s="139" t="s">
        <v>164</v>
      </c>
      <c r="B21" s="139" t="s">
        <v>165</v>
      </c>
      <c r="C21" s="139" t="s">
        <v>166</v>
      </c>
    </row>
    <row r="22" spans="1:3" ht="110" customHeight="1" x14ac:dyDescent="0.35">
      <c r="A22" s="141" t="s">
        <v>199</v>
      </c>
      <c r="B22" s="142" t="s">
        <v>200</v>
      </c>
      <c r="C22" s="142" t="s">
        <v>201</v>
      </c>
    </row>
    <row r="23" spans="1:3" ht="110" customHeight="1" x14ac:dyDescent="0.35">
      <c r="A23" s="143" t="s">
        <v>202</v>
      </c>
      <c r="B23" s="144" t="s">
        <v>203</v>
      </c>
      <c r="C23" s="144" t="s">
        <v>204</v>
      </c>
    </row>
    <row r="24" spans="1:3" ht="110" customHeight="1" x14ac:dyDescent="0.35">
      <c r="A24" s="143" t="s">
        <v>205</v>
      </c>
      <c r="B24" s="144" t="s">
        <v>206</v>
      </c>
      <c r="C24" s="144" t="s">
        <v>207</v>
      </c>
    </row>
    <row r="25" spans="1:3" ht="110" customHeight="1" x14ac:dyDescent="0.35">
      <c r="A25" s="143" t="s">
        <v>208</v>
      </c>
      <c r="B25" s="144" t="s">
        <v>209</v>
      </c>
      <c r="C25" s="144" t="s">
        <v>210</v>
      </c>
    </row>
    <row r="26" spans="1:3" ht="110" customHeight="1" x14ac:dyDescent="0.35">
      <c r="A26" s="143" t="s">
        <v>211</v>
      </c>
      <c r="B26" s="144" t="s">
        <v>212</v>
      </c>
      <c r="C26" s="144" t="s">
        <v>213</v>
      </c>
    </row>
    <row r="27" spans="1:3" ht="110" customHeight="1" x14ac:dyDescent="0.35">
      <c r="A27" s="143" t="s">
        <v>214</v>
      </c>
      <c r="B27" s="144" t="s">
        <v>215</v>
      </c>
      <c r="C27" s="144" t="s">
        <v>216</v>
      </c>
    </row>
    <row r="28" spans="1:3" x14ac:dyDescent="0.35">
      <c r="A28" s="136"/>
      <c r="B28" s="136"/>
      <c r="C28" s="136"/>
    </row>
    <row r="29" spans="1:3" x14ac:dyDescent="0.35">
      <c r="A29" s="140" t="s">
        <v>217</v>
      </c>
      <c r="B29" s="138"/>
      <c r="C29" s="138"/>
    </row>
    <row r="30" spans="1:3" ht="30" x14ac:dyDescent="0.35">
      <c r="A30" s="139" t="s">
        <v>164</v>
      </c>
      <c r="B30" s="139" t="s">
        <v>165</v>
      </c>
      <c r="C30" s="139" t="s">
        <v>166</v>
      </c>
    </row>
    <row r="31" spans="1:3" ht="110" customHeight="1" x14ac:dyDescent="0.35">
      <c r="A31" s="141" t="s">
        <v>218</v>
      </c>
      <c r="B31" s="142" t="s">
        <v>219</v>
      </c>
      <c r="C31" s="142" t="s">
        <v>220</v>
      </c>
    </row>
    <row r="32" spans="1:3" ht="110" customHeight="1" x14ac:dyDescent="0.35">
      <c r="A32" s="143" t="s">
        <v>221</v>
      </c>
      <c r="B32" s="144" t="s">
        <v>222</v>
      </c>
      <c r="C32" s="144" t="s">
        <v>223</v>
      </c>
    </row>
    <row r="33" spans="1:3" ht="110" customHeight="1" x14ac:dyDescent="0.35">
      <c r="A33" s="143" t="s">
        <v>224</v>
      </c>
      <c r="B33" s="144" t="s">
        <v>225</v>
      </c>
      <c r="C33" s="144" t="s">
        <v>226</v>
      </c>
    </row>
    <row r="34" spans="1:3" ht="110" customHeight="1" x14ac:dyDescent="0.35">
      <c r="A34" s="143" t="s">
        <v>227</v>
      </c>
      <c r="B34" s="144" t="s">
        <v>228</v>
      </c>
      <c r="C34" s="144" t="s">
        <v>229</v>
      </c>
    </row>
    <row r="35" spans="1:3" ht="110" customHeight="1" x14ac:dyDescent="0.35">
      <c r="A35" s="143" t="s">
        <v>230</v>
      </c>
      <c r="B35" s="144" t="s">
        <v>231</v>
      </c>
      <c r="C35" s="144" t="s">
        <v>232</v>
      </c>
    </row>
    <row r="36" spans="1:3" x14ac:dyDescent="0.35">
      <c r="A36" s="136"/>
      <c r="B36" s="136"/>
      <c r="C36" s="136"/>
    </row>
    <row r="37" spans="1:3" ht="38" x14ac:dyDescent="0.35">
      <c r="A37" s="140" t="s">
        <v>233</v>
      </c>
      <c r="B37" s="138"/>
      <c r="C37" s="138"/>
    </row>
    <row r="38" spans="1:3" ht="30" x14ac:dyDescent="0.35">
      <c r="A38" s="139" t="s">
        <v>164</v>
      </c>
      <c r="B38" s="139" t="s">
        <v>165</v>
      </c>
      <c r="C38" s="139" t="s">
        <v>166</v>
      </c>
    </row>
    <row r="39" spans="1:3" ht="110" customHeight="1" x14ac:dyDescent="0.35">
      <c r="A39" s="141" t="s">
        <v>234</v>
      </c>
      <c r="B39" s="142" t="s">
        <v>235</v>
      </c>
      <c r="C39" s="142" t="s">
        <v>236</v>
      </c>
    </row>
    <row r="40" spans="1:3" ht="110" customHeight="1" x14ac:dyDescent="0.35">
      <c r="A40" s="143" t="s">
        <v>237</v>
      </c>
      <c r="B40" s="144" t="s">
        <v>238</v>
      </c>
      <c r="C40" s="144" t="s">
        <v>239</v>
      </c>
    </row>
    <row r="41" spans="1:3" ht="110" customHeight="1" x14ac:dyDescent="0.35">
      <c r="A41" s="143" t="s">
        <v>240</v>
      </c>
      <c r="B41" s="144" t="s">
        <v>241</v>
      </c>
      <c r="C41" s="144" t="s">
        <v>242</v>
      </c>
    </row>
    <row r="42" spans="1:3" ht="110" customHeight="1" x14ac:dyDescent="0.35">
      <c r="A42" s="143" t="s">
        <v>243</v>
      </c>
      <c r="B42" s="144" t="s">
        <v>244</v>
      </c>
      <c r="C42" s="144" t="s">
        <v>245</v>
      </c>
    </row>
    <row r="43" spans="1:3" ht="110" customHeight="1" x14ac:dyDescent="0.35">
      <c r="A43" s="143" t="s">
        <v>246</v>
      </c>
      <c r="B43" s="144" t="s">
        <v>247</v>
      </c>
      <c r="C43" s="144" t="s">
        <v>248</v>
      </c>
    </row>
    <row r="44" spans="1:3" x14ac:dyDescent="0.35">
      <c r="A44" s="136"/>
      <c r="B44" s="136"/>
      <c r="C44" s="136"/>
    </row>
    <row r="45" spans="1:3" ht="38" x14ac:dyDescent="0.35">
      <c r="A45" s="140" t="s">
        <v>249</v>
      </c>
      <c r="B45" s="138"/>
      <c r="C45" s="138"/>
    </row>
    <row r="46" spans="1:3" ht="30" x14ac:dyDescent="0.35">
      <c r="A46" s="139" t="s">
        <v>164</v>
      </c>
      <c r="B46" s="139" t="s">
        <v>165</v>
      </c>
      <c r="C46" s="139" t="s">
        <v>166</v>
      </c>
    </row>
    <row r="47" spans="1:3" ht="110" customHeight="1" x14ac:dyDescent="0.35">
      <c r="A47" s="141" t="s">
        <v>250</v>
      </c>
      <c r="B47" s="142" t="s">
        <v>251</v>
      </c>
      <c r="C47" s="142" t="s">
        <v>252</v>
      </c>
    </row>
    <row r="48" spans="1:3" ht="110" customHeight="1" x14ac:dyDescent="0.35">
      <c r="A48" s="143" t="s">
        <v>253</v>
      </c>
      <c r="B48" s="144" t="s">
        <v>254</v>
      </c>
      <c r="C48" s="144" t="s">
        <v>169</v>
      </c>
    </row>
    <row r="49" spans="1:3" ht="110" customHeight="1" x14ac:dyDescent="0.35">
      <c r="A49" s="143" t="s">
        <v>255</v>
      </c>
      <c r="B49" s="144" t="s">
        <v>256</v>
      </c>
      <c r="C49" s="144" t="s">
        <v>257</v>
      </c>
    </row>
    <row r="50" spans="1:3" ht="110" customHeight="1" x14ac:dyDescent="0.35">
      <c r="A50" s="143" t="s">
        <v>258</v>
      </c>
      <c r="B50" s="144" t="s">
        <v>259</v>
      </c>
      <c r="C50" s="144" t="s">
        <v>260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AE528-F397-4B4B-A356-63AFB2926870}">
  <dimension ref="A1:F40"/>
  <sheetViews>
    <sheetView topLeftCell="A5" workbookViewId="0">
      <selection activeCell="I6" sqref="I6"/>
    </sheetView>
  </sheetViews>
  <sheetFormatPr baseColWidth="10" defaultRowHeight="29" x14ac:dyDescent="0.35"/>
  <cols>
    <col min="1" max="1" width="40" style="3" customWidth="1"/>
    <col min="2" max="2" width="47.33203125" style="3" customWidth="1"/>
    <col min="3" max="5" width="16.6640625" style="3" customWidth="1"/>
    <col min="6" max="6" width="23.33203125" style="3" customWidth="1"/>
    <col min="7" max="16384" width="10.83203125" style="3"/>
  </cols>
  <sheetData>
    <row r="1" spans="1:6" x14ac:dyDescent="0.35">
      <c r="A1" s="7" t="s">
        <v>261</v>
      </c>
      <c r="B1" s="8"/>
      <c r="C1" s="8"/>
      <c r="D1" s="8"/>
      <c r="E1" s="8"/>
      <c r="F1" s="8"/>
    </row>
    <row r="3" spans="1:6" x14ac:dyDescent="0.35">
      <c r="A3" s="51" t="s">
        <v>262</v>
      </c>
      <c r="B3" s="76"/>
      <c r="C3" s="76"/>
      <c r="D3" s="76"/>
      <c r="E3" s="76"/>
      <c r="F3" s="76"/>
    </row>
    <row r="4" spans="1:6" ht="409.6" x14ac:dyDescent="0.35">
      <c r="A4" s="2" t="s">
        <v>263</v>
      </c>
      <c r="B4" s="84" t="s">
        <v>264</v>
      </c>
    </row>
    <row r="5" spans="1:6" ht="409.6" x14ac:dyDescent="0.35">
      <c r="A5" s="2" t="s">
        <v>265</v>
      </c>
      <c r="B5" s="84" t="s">
        <v>266</v>
      </c>
    </row>
    <row r="6" spans="1:6" ht="390" x14ac:dyDescent="0.35">
      <c r="A6" s="2" t="s">
        <v>267</v>
      </c>
      <c r="B6" s="84" t="s">
        <v>268</v>
      </c>
    </row>
    <row r="8" spans="1:6" x14ac:dyDescent="0.35">
      <c r="A8" s="51" t="s">
        <v>269</v>
      </c>
      <c r="B8" s="76"/>
      <c r="C8" s="76"/>
      <c r="D8" s="76"/>
      <c r="E8" s="76"/>
      <c r="F8" s="76"/>
    </row>
    <row r="9" spans="1:6" x14ac:dyDescent="0.35">
      <c r="A9" s="146" t="s">
        <v>270</v>
      </c>
    </row>
    <row r="10" spans="1:6" x14ac:dyDescent="0.35">
      <c r="A10" s="25"/>
      <c r="B10" s="26" t="s">
        <v>271</v>
      </c>
      <c r="C10" s="26" t="s">
        <v>272</v>
      </c>
      <c r="D10" s="26" t="s">
        <v>273</v>
      </c>
      <c r="E10" s="26" t="s">
        <v>274</v>
      </c>
      <c r="F10" s="26" t="s">
        <v>59</v>
      </c>
    </row>
    <row r="11" spans="1:6" x14ac:dyDescent="0.35">
      <c r="A11" s="158" t="s">
        <v>275</v>
      </c>
      <c r="B11" s="159">
        <v>100</v>
      </c>
      <c r="C11" s="160">
        <v>0</v>
      </c>
      <c r="D11" s="160">
        <v>0</v>
      </c>
      <c r="E11" s="160">
        <v>0</v>
      </c>
      <c r="F11" s="161">
        <f>SUM(B11:E11)</f>
        <v>100</v>
      </c>
    </row>
    <row r="12" spans="1:6" x14ac:dyDescent="0.35">
      <c r="A12" s="22" t="s">
        <v>276</v>
      </c>
      <c r="B12" s="162">
        <v>0</v>
      </c>
      <c r="C12" s="163">
        <v>150</v>
      </c>
      <c r="D12" s="162">
        <v>0</v>
      </c>
      <c r="E12" s="162">
        <v>0</v>
      </c>
      <c r="F12" s="164">
        <f>SUM(B12:E12)</f>
        <v>150</v>
      </c>
    </row>
    <row r="13" spans="1:6" x14ac:dyDescent="0.35">
      <c r="A13" s="158" t="s">
        <v>277</v>
      </c>
      <c r="B13" s="160">
        <v>0</v>
      </c>
      <c r="C13" s="160">
        <v>0</v>
      </c>
      <c r="D13" s="159">
        <v>400</v>
      </c>
      <c r="E13" s="160">
        <v>0</v>
      </c>
      <c r="F13" s="161">
        <f>SUM(B13:E13)</f>
        <v>400</v>
      </c>
    </row>
    <row r="14" spans="1:6" x14ac:dyDescent="0.35">
      <c r="A14" s="22" t="s">
        <v>278</v>
      </c>
      <c r="B14" s="162">
        <v>0</v>
      </c>
      <c r="C14" s="162">
        <v>0</v>
      </c>
      <c r="D14" s="162">
        <v>0</v>
      </c>
      <c r="E14" s="163">
        <v>350</v>
      </c>
      <c r="F14" s="164">
        <f>SUM(B14:E14)</f>
        <v>350</v>
      </c>
    </row>
    <row r="15" spans="1:6" x14ac:dyDescent="0.35">
      <c r="A15" s="165" t="s">
        <v>279</v>
      </c>
      <c r="B15" s="166">
        <f>SUM(B11:B14)</f>
        <v>100</v>
      </c>
      <c r="C15" s="166">
        <f>SUM(C11:C14)</f>
        <v>150</v>
      </c>
      <c r="D15" s="166">
        <f>SUM(D11:D14)</f>
        <v>400</v>
      </c>
      <c r="E15" s="166">
        <f>SUM(E11:E14)</f>
        <v>350</v>
      </c>
      <c r="F15" s="166">
        <f>SUM(F11:F14)</f>
        <v>1000</v>
      </c>
    </row>
    <row r="17" spans="1:6" x14ac:dyDescent="0.35">
      <c r="A17" s="146" t="s">
        <v>280</v>
      </c>
    </row>
    <row r="18" spans="1:6" x14ac:dyDescent="0.35">
      <c r="A18" s="167"/>
      <c r="B18" s="168" t="s">
        <v>271</v>
      </c>
      <c r="C18" s="168" t="s">
        <v>272</v>
      </c>
      <c r="D18" s="168" t="s">
        <v>273</v>
      </c>
      <c r="E18" s="168" t="s">
        <v>274</v>
      </c>
      <c r="F18" s="168" t="s">
        <v>59</v>
      </c>
    </row>
    <row r="19" spans="1:6" x14ac:dyDescent="0.35">
      <c r="A19" s="169" t="s">
        <v>281</v>
      </c>
      <c r="B19" s="170">
        <v>200</v>
      </c>
      <c r="C19" s="170">
        <v>100</v>
      </c>
      <c r="D19" s="171">
        <v>0</v>
      </c>
      <c r="E19" s="171">
        <v>0</v>
      </c>
      <c r="F19" s="172">
        <f>SUM(B19:E19)</f>
        <v>300</v>
      </c>
    </row>
    <row r="20" spans="1:6" x14ac:dyDescent="0.35">
      <c r="A20" s="22" t="s">
        <v>282</v>
      </c>
      <c r="B20" s="162">
        <v>0</v>
      </c>
      <c r="C20" s="163">
        <v>250</v>
      </c>
      <c r="D20" s="163">
        <v>100</v>
      </c>
      <c r="E20" s="162">
        <v>0</v>
      </c>
      <c r="F20" s="164">
        <f>SUM(B20:E20)</f>
        <v>350</v>
      </c>
    </row>
    <row r="21" spans="1:6" x14ac:dyDescent="0.35">
      <c r="A21" s="169" t="s">
        <v>283</v>
      </c>
      <c r="B21" s="170">
        <v>150</v>
      </c>
      <c r="C21" s="171">
        <v>0</v>
      </c>
      <c r="D21" s="171">
        <v>0</v>
      </c>
      <c r="E21" s="171">
        <v>0</v>
      </c>
      <c r="F21" s="172">
        <f>SUM(B21:E21)</f>
        <v>150</v>
      </c>
    </row>
    <row r="22" spans="1:6" x14ac:dyDescent="0.35">
      <c r="A22" s="22" t="s">
        <v>284</v>
      </c>
      <c r="B22" s="162">
        <v>0</v>
      </c>
      <c r="C22" s="162">
        <v>0</v>
      </c>
      <c r="D22" s="162">
        <v>0</v>
      </c>
      <c r="E22" s="163">
        <v>200</v>
      </c>
      <c r="F22" s="164">
        <f>SUM(B22:E22)</f>
        <v>200</v>
      </c>
    </row>
    <row r="23" spans="1:6" x14ac:dyDescent="0.35">
      <c r="A23" s="173" t="s">
        <v>285</v>
      </c>
      <c r="B23" s="174">
        <f>SUM(B19:B22)</f>
        <v>350</v>
      </c>
      <c r="C23" s="174">
        <f>SUM(C19:C22)</f>
        <v>350</v>
      </c>
      <c r="D23" s="174">
        <f>SUM(D19:D22)</f>
        <v>100</v>
      </c>
      <c r="E23" s="174">
        <f>SUM(E19:E22)</f>
        <v>200</v>
      </c>
      <c r="F23" s="174">
        <f>SUM(F19:F22)</f>
        <v>1000</v>
      </c>
    </row>
    <row r="25" spans="1:6" x14ac:dyDescent="0.35">
      <c r="A25" s="146" t="s">
        <v>286</v>
      </c>
    </row>
    <row r="26" spans="1:6" x14ac:dyDescent="0.35">
      <c r="A26" s="25"/>
      <c r="B26" s="26" t="s">
        <v>271</v>
      </c>
      <c r="C26" s="26" t="s">
        <v>272</v>
      </c>
      <c r="D26" s="26" t="s">
        <v>273</v>
      </c>
      <c r="E26" s="26" t="s">
        <v>274</v>
      </c>
      <c r="F26" s="13" t="s">
        <v>287</v>
      </c>
    </row>
    <row r="27" spans="1:6" x14ac:dyDescent="0.35">
      <c r="A27" s="22" t="s">
        <v>288</v>
      </c>
      <c r="B27" s="87">
        <f>B15</f>
        <v>100</v>
      </c>
      <c r="C27" s="87">
        <f>C15</f>
        <v>150</v>
      </c>
      <c r="D27" s="87">
        <f>D15</f>
        <v>400</v>
      </c>
      <c r="E27" s="87">
        <f>E15</f>
        <v>350</v>
      </c>
    </row>
    <row r="28" spans="1:6" x14ac:dyDescent="0.35">
      <c r="A28" s="22" t="s">
        <v>289</v>
      </c>
      <c r="B28" s="87">
        <f>B23</f>
        <v>350</v>
      </c>
      <c r="C28" s="87">
        <f>C23</f>
        <v>350</v>
      </c>
      <c r="D28" s="87">
        <f>D23</f>
        <v>100</v>
      </c>
      <c r="E28" s="87">
        <f>E23</f>
        <v>200</v>
      </c>
    </row>
    <row r="29" spans="1:6" x14ac:dyDescent="0.35">
      <c r="A29" s="175" t="s">
        <v>290</v>
      </c>
      <c r="B29" s="176">
        <f>B27-B28</f>
        <v>-250</v>
      </c>
      <c r="C29" s="176">
        <f>C27-C28</f>
        <v>-200</v>
      </c>
      <c r="D29" s="176">
        <f>D27-D28</f>
        <v>300</v>
      </c>
      <c r="E29" s="176">
        <f>E27-E28</f>
        <v>150</v>
      </c>
    </row>
    <row r="31" spans="1:6" x14ac:dyDescent="0.35">
      <c r="A31" s="146" t="s">
        <v>291</v>
      </c>
    </row>
    <row r="32" spans="1:6" ht="50" customHeight="1" x14ac:dyDescent="0.35">
      <c r="A32" s="154" t="s">
        <v>292</v>
      </c>
      <c r="B32" s="84" t="s">
        <v>293</v>
      </c>
    </row>
    <row r="33" spans="1:6" ht="50" customHeight="1" x14ac:dyDescent="0.35">
      <c r="A33" s="154" t="s">
        <v>294</v>
      </c>
      <c r="B33" s="84" t="s">
        <v>295</v>
      </c>
    </row>
    <row r="34" spans="1:6" ht="50" customHeight="1" x14ac:dyDescent="0.35">
      <c r="A34" s="155" t="s">
        <v>296</v>
      </c>
      <c r="B34" s="84" t="s">
        <v>297</v>
      </c>
    </row>
    <row r="35" spans="1:6" ht="50" customHeight="1" x14ac:dyDescent="0.35">
      <c r="A35" s="155" t="s">
        <v>298</v>
      </c>
      <c r="B35" s="84" t="s">
        <v>299</v>
      </c>
    </row>
    <row r="37" spans="1:6" x14ac:dyDescent="0.35">
      <c r="A37" s="156" t="s">
        <v>300</v>
      </c>
      <c r="B37" s="157"/>
      <c r="C37" s="157"/>
      <c r="D37" s="157"/>
      <c r="E37" s="157"/>
      <c r="F37" s="157"/>
    </row>
    <row r="38" spans="1:6" ht="55" customHeight="1" x14ac:dyDescent="0.35">
      <c r="A38" s="2" t="s">
        <v>301</v>
      </c>
      <c r="B38" s="84" t="s">
        <v>302</v>
      </c>
    </row>
    <row r="39" spans="1:6" ht="55" customHeight="1" x14ac:dyDescent="0.35">
      <c r="A39" s="79" t="s">
        <v>303</v>
      </c>
      <c r="B39" s="84" t="s">
        <v>304</v>
      </c>
    </row>
    <row r="40" spans="1:6" ht="55" customHeight="1" x14ac:dyDescent="0.35">
      <c r="A40" s="155" t="s">
        <v>305</v>
      </c>
      <c r="B40" s="84" t="s">
        <v>306</v>
      </c>
    </row>
  </sheetData>
  <conditionalFormatting sqref="B29:E29">
    <cfRule type="cellIs" dxfId="17" priority="1" operator="lessThan">
      <formula>0</formula>
    </cfRule>
  </conditionalFormatting>
  <conditionalFormatting sqref="B29:E29">
    <cfRule type="cellIs" dxfId="16" priority="2" operator="greaterThan">
      <formula>0</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EC70-8CDC-2143-8B5C-4F129BADFC41}">
  <dimension ref="A1:G32"/>
  <sheetViews>
    <sheetView topLeftCell="A24" workbookViewId="0">
      <selection activeCell="B5" sqref="B5"/>
    </sheetView>
  </sheetViews>
  <sheetFormatPr baseColWidth="10" defaultRowHeight="29" x14ac:dyDescent="0.35"/>
  <cols>
    <col min="1" max="1" width="33.33203125" style="3" customWidth="1"/>
    <col min="2" max="2" width="95.1640625" style="3" customWidth="1"/>
    <col min="3" max="3" width="20" style="3" customWidth="1"/>
    <col min="4" max="4" width="50" style="3" customWidth="1"/>
    <col min="5" max="5" width="46.6640625" style="3" customWidth="1"/>
    <col min="6" max="16384" width="10.83203125" style="3"/>
  </cols>
  <sheetData>
    <row r="1" spans="1:7" x14ac:dyDescent="0.35">
      <c r="A1" s="7" t="s">
        <v>307</v>
      </c>
      <c r="B1" s="8"/>
      <c r="C1" s="8"/>
      <c r="D1" s="8"/>
      <c r="E1" s="8"/>
      <c r="F1" s="8"/>
      <c r="G1" s="8"/>
    </row>
    <row r="3" spans="1:7" x14ac:dyDescent="0.35">
      <c r="A3" s="51" t="s">
        <v>262</v>
      </c>
      <c r="B3" s="76"/>
      <c r="C3" s="76"/>
      <c r="D3" s="76"/>
      <c r="E3" s="76"/>
      <c r="F3" s="76"/>
      <c r="G3" s="76"/>
    </row>
    <row r="4" spans="1:7" ht="74" customHeight="1" x14ac:dyDescent="0.35">
      <c r="A4" s="2" t="s">
        <v>308</v>
      </c>
      <c r="B4" s="84" t="s">
        <v>309</v>
      </c>
    </row>
    <row r="5" spans="1:7" ht="92" customHeight="1" x14ac:dyDescent="0.35">
      <c r="A5" s="2" t="s">
        <v>310</v>
      </c>
      <c r="B5" s="84" t="s">
        <v>311</v>
      </c>
    </row>
    <row r="6" spans="1:7" ht="40" customHeight="1" x14ac:dyDescent="0.35">
      <c r="A6" s="2" t="s">
        <v>312</v>
      </c>
      <c r="B6" s="84" t="s">
        <v>313</v>
      </c>
    </row>
    <row r="8" spans="1:7" x14ac:dyDescent="0.35">
      <c r="A8" s="51" t="s">
        <v>314</v>
      </c>
      <c r="B8" s="76"/>
      <c r="C8" s="76"/>
      <c r="D8" s="76"/>
      <c r="E8" s="76"/>
      <c r="F8" s="76"/>
      <c r="G8" s="76"/>
    </row>
    <row r="9" spans="1:7" x14ac:dyDescent="0.35">
      <c r="A9" s="2" t="s">
        <v>315</v>
      </c>
    </row>
    <row r="10" spans="1:7" x14ac:dyDescent="0.35">
      <c r="A10" s="88"/>
      <c r="B10" s="89" t="s">
        <v>316</v>
      </c>
      <c r="C10" s="89" t="s">
        <v>317</v>
      </c>
      <c r="D10" s="89" t="s">
        <v>318</v>
      </c>
      <c r="E10" s="90" t="s">
        <v>141</v>
      </c>
    </row>
    <row r="11" spans="1:7" x14ac:dyDescent="0.35">
      <c r="A11" s="177" t="s">
        <v>319</v>
      </c>
      <c r="B11" s="92">
        <v>100</v>
      </c>
      <c r="C11" s="92">
        <v>150</v>
      </c>
      <c r="D11" s="92">
        <v>400</v>
      </c>
      <c r="E11" s="178">
        <v>350</v>
      </c>
    </row>
    <row r="12" spans="1:7" x14ac:dyDescent="0.35">
      <c r="A12" s="179" t="s">
        <v>320</v>
      </c>
      <c r="B12" s="92">
        <v>350</v>
      </c>
      <c r="C12" s="92">
        <v>350</v>
      </c>
      <c r="D12" s="92">
        <v>100</v>
      </c>
      <c r="E12" s="178">
        <v>200</v>
      </c>
    </row>
    <row r="13" spans="1:7" x14ac:dyDescent="0.35">
      <c r="A13" s="180" t="s">
        <v>321</v>
      </c>
      <c r="B13" s="181">
        <f>B11-B12</f>
        <v>-250</v>
      </c>
      <c r="C13" s="181">
        <f>C11-C12</f>
        <v>-200</v>
      </c>
      <c r="D13" s="181">
        <f>D11-D12</f>
        <v>300</v>
      </c>
      <c r="E13" s="182">
        <f>E11-E12</f>
        <v>150</v>
      </c>
    </row>
    <row r="15" spans="1:7" x14ac:dyDescent="0.35">
      <c r="A15" s="2" t="s">
        <v>322</v>
      </c>
    </row>
    <row r="16" spans="1:7" x14ac:dyDescent="0.35">
      <c r="A16" s="183"/>
      <c r="B16" s="184" t="s">
        <v>316</v>
      </c>
      <c r="C16" s="184" t="s">
        <v>317</v>
      </c>
      <c r="D16" s="184" t="s">
        <v>318</v>
      </c>
      <c r="E16" s="185" t="s">
        <v>141</v>
      </c>
    </row>
    <row r="17" spans="1:5" x14ac:dyDescent="0.35">
      <c r="A17" s="186" t="s">
        <v>323</v>
      </c>
      <c r="B17" s="187">
        <f>B13</f>
        <v>-250</v>
      </c>
      <c r="C17" s="187">
        <f>C13</f>
        <v>-200</v>
      </c>
      <c r="D17" s="187">
        <f>D13</f>
        <v>300</v>
      </c>
      <c r="E17" s="188">
        <f>E13</f>
        <v>150</v>
      </c>
    </row>
    <row r="18" spans="1:5" x14ac:dyDescent="0.35">
      <c r="A18" s="189" t="s">
        <v>324</v>
      </c>
      <c r="B18" s="190" t="s">
        <v>325</v>
      </c>
      <c r="C18" s="190" t="s">
        <v>326</v>
      </c>
      <c r="D18" s="190" t="s">
        <v>327</v>
      </c>
      <c r="E18" s="191" t="s">
        <v>328</v>
      </c>
    </row>
    <row r="19" spans="1:5" x14ac:dyDescent="0.35">
      <c r="A19" s="192" t="s">
        <v>329</v>
      </c>
      <c r="B19" s="193">
        <f>B17</f>
        <v>-250</v>
      </c>
      <c r="C19" s="193">
        <f>B19+C17</f>
        <v>-450</v>
      </c>
      <c r="D19" s="193">
        <f>C19+D17</f>
        <v>-150</v>
      </c>
      <c r="E19" s="194">
        <f>D19+E17</f>
        <v>0</v>
      </c>
    </row>
    <row r="21" spans="1:5" x14ac:dyDescent="0.35">
      <c r="A21" s="146" t="s">
        <v>330</v>
      </c>
    </row>
    <row r="22" spans="1:5" x14ac:dyDescent="0.35">
      <c r="A22" s="88" t="s">
        <v>331</v>
      </c>
      <c r="B22" s="89" t="s">
        <v>74</v>
      </c>
      <c r="C22" s="89" t="s">
        <v>75</v>
      </c>
      <c r="D22" s="195" t="s">
        <v>332</v>
      </c>
      <c r="E22" s="196" t="s">
        <v>333</v>
      </c>
    </row>
    <row r="23" spans="1:5" ht="60" customHeight="1" x14ac:dyDescent="0.35">
      <c r="A23" s="186" t="s">
        <v>271</v>
      </c>
      <c r="B23" s="187">
        <f>B13</f>
        <v>-250</v>
      </c>
      <c r="C23" s="187">
        <f>B19</f>
        <v>-250</v>
      </c>
      <c r="D23" s="197" t="s">
        <v>334</v>
      </c>
      <c r="E23" s="198" t="s">
        <v>335</v>
      </c>
    </row>
    <row r="24" spans="1:5" ht="60" customHeight="1" x14ac:dyDescent="0.35">
      <c r="A24" s="186" t="s">
        <v>272</v>
      </c>
      <c r="B24" s="187">
        <f>C13</f>
        <v>-200</v>
      </c>
      <c r="C24" s="187">
        <f>C19</f>
        <v>-450</v>
      </c>
      <c r="D24" s="197" t="s">
        <v>336</v>
      </c>
      <c r="E24" s="198" t="s">
        <v>337</v>
      </c>
    </row>
    <row r="25" spans="1:5" ht="60" customHeight="1" x14ac:dyDescent="0.35">
      <c r="A25" s="186" t="s">
        <v>273</v>
      </c>
      <c r="B25" s="187">
        <f>D13</f>
        <v>300</v>
      </c>
      <c r="C25" s="187">
        <f>D19</f>
        <v>-150</v>
      </c>
      <c r="D25" s="197" t="s">
        <v>338</v>
      </c>
      <c r="E25" s="198" t="s">
        <v>339</v>
      </c>
    </row>
    <row r="26" spans="1:5" ht="60" customHeight="1" x14ac:dyDescent="0.35">
      <c r="A26" s="180" t="s">
        <v>274</v>
      </c>
      <c r="B26" s="181">
        <f>E13</f>
        <v>150</v>
      </c>
      <c r="C26" s="181">
        <f>E19</f>
        <v>0</v>
      </c>
      <c r="D26" s="199" t="s">
        <v>340</v>
      </c>
      <c r="E26" s="200" t="s">
        <v>341</v>
      </c>
    </row>
    <row r="28" spans="1:5" x14ac:dyDescent="0.35">
      <c r="A28" s="156" t="s">
        <v>342</v>
      </c>
      <c r="B28" s="157"/>
      <c r="C28" s="157"/>
      <c r="D28" s="157"/>
      <c r="E28" s="157"/>
    </row>
    <row r="29" spans="1:5" ht="55" customHeight="1" x14ac:dyDescent="0.35">
      <c r="A29" s="2" t="s">
        <v>343</v>
      </c>
      <c r="B29" s="84" t="s">
        <v>344</v>
      </c>
    </row>
    <row r="30" spans="1:5" ht="55" customHeight="1" x14ac:dyDescent="0.35">
      <c r="A30" s="79" t="s">
        <v>345</v>
      </c>
      <c r="B30" s="84" t="s">
        <v>346</v>
      </c>
    </row>
    <row r="31" spans="1:5" ht="55" customHeight="1" x14ac:dyDescent="0.35">
      <c r="A31" s="155" t="s">
        <v>347</v>
      </c>
      <c r="B31" s="84" t="s">
        <v>348</v>
      </c>
    </row>
    <row r="32" spans="1:5" ht="55" customHeight="1" x14ac:dyDescent="0.35">
      <c r="A32" s="78" t="s">
        <v>305</v>
      </c>
      <c r="B32" s="84" t="s">
        <v>349</v>
      </c>
    </row>
  </sheetData>
  <conditionalFormatting sqref="B13:E13">
    <cfRule type="cellIs" dxfId="15" priority="1" operator="lessThan">
      <formula>0</formula>
    </cfRule>
  </conditionalFormatting>
  <conditionalFormatting sqref="B13:E13">
    <cfRule type="cellIs" dxfId="14" priority="2" operator="greaterThan">
      <formula>0</formula>
    </cfRule>
  </conditionalFormatting>
  <conditionalFormatting sqref="B17:E17">
    <cfRule type="cellIs" dxfId="13" priority="3" operator="lessThan">
      <formula>0</formula>
    </cfRule>
  </conditionalFormatting>
  <conditionalFormatting sqref="B17:E17">
    <cfRule type="cellIs" dxfId="12" priority="4" operator="greaterThan">
      <formula>0</formula>
    </cfRule>
  </conditionalFormatting>
  <conditionalFormatting sqref="B19:E19">
    <cfRule type="cellIs" dxfId="11" priority="5" operator="lessThan">
      <formula>0</formula>
    </cfRule>
  </conditionalFormatting>
  <conditionalFormatting sqref="B19:E19">
    <cfRule type="cellIs" dxfId="10" priority="6" operator="greaterThan">
      <formula>0</formula>
    </cfRule>
  </conditionalFormatting>
  <conditionalFormatting sqref="B23:C26">
    <cfRule type="cellIs" dxfId="9" priority="7" operator="lessThan">
      <formula>0</formula>
    </cfRule>
  </conditionalFormatting>
  <conditionalFormatting sqref="B23:C26">
    <cfRule type="cellIs" dxfId="8" priority="8" operator="greaterThan">
      <formula>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8925B-38AC-B644-A574-2951B0A6ACA0}">
  <dimension ref="A1:F41"/>
  <sheetViews>
    <sheetView workbookViewId="0">
      <selection activeCell="F13" sqref="F13"/>
    </sheetView>
  </sheetViews>
  <sheetFormatPr baseColWidth="10" defaultColWidth="26.33203125" defaultRowHeight="29" x14ac:dyDescent="0.35"/>
  <cols>
    <col min="1" max="1" width="40" style="3" customWidth="1"/>
    <col min="2" max="2" width="46.6640625" style="3" customWidth="1"/>
    <col min="3" max="5" width="16.6640625" style="3" customWidth="1"/>
    <col min="6" max="6" width="20" style="3" customWidth="1"/>
    <col min="7" max="16384" width="26.33203125" style="3"/>
  </cols>
  <sheetData>
    <row r="1" spans="1:6" x14ac:dyDescent="0.35">
      <c r="A1" s="7" t="s">
        <v>350</v>
      </c>
      <c r="B1" s="8"/>
      <c r="C1" s="8"/>
      <c r="D1" s="8"/>
      <c r="E1" s="8"/>
      <c r="F1" s="8"/>
    </row>
    <row r="3" spans="1:6" ht="35" customHeight="1" x14ac:dyDescent="0.35">
      <c r="A3" s="202" t="s">
        <v>351</v>
      </c>
    </row>
    <row r="5" spans="1:6" x14ac:dyDescent="0.35">
      <c r="A5" s="51" t="s">
        <v>352</v>
      </c>
      <c r="B5" s="76"/>
      <c r="C5" s="76"/>
      <c r="D5" s="76"/>
      <c r="E5" s="76"/>
      <c r="F5" s="76"/>
    </row>
    <row r="7" spans="1:6" x14ac:dyDescent="0.35">
      <c r="A7" s="2" t="s">
        <v>353</v>
      </c>
    </row>
    <row r="8" spans="1:6" x14ac:dyDescent="0.35">
      <c r="A8" s="12" t="s">
        <v>324</v>
      </c>
      <c r="B8" s="201" t="s">
        <v>354</v>
      </c>
    </row>
    <row r="9" spans="1:6" ht="180" x14ac:dyDescent="0.35">
      <c r="A9" s="4" t="s">
        <v>355</v>
      </c>
      <c r="B9" s="84" t="s">
        <v>356</v>
      </c>
    </row>
    <row r="11" spans="1:6" x14ac:dyDescent="0.35">
      <c r="A11" s="88"/>
      <c r="B11" s="89" t="s">
        <v>316</v>
      </c>
      <c r="C11" s="89" t="s">
        <v>317</v>
      </c>
      <c r="D11" s="89" t="s">
        <v>318</v>
      </c>
      <c r="E11" s="89" t="s">
        <v>141</v>
      </c>
      <c r="F11" s="90" t="s">
        <v>115</v>
      </c>
    </row>
    <row r="12" spans="1:6" x14ac:dyDescent="0.35">
      <c r="A12" s="186" t="s">
        <v>357</v>
      </c>
      <c r="B12" s="203">
        <v>-250</v>
      </c>
      <c r="C12" s="203">
        <v>-200</v>
      </c>
      <c r="D12" s="203">
        <v>300</v>
      </c>
      <c r="E12" s="203">
        <v>150</v>
      </c>
      <c r="F12" s="204"/>
    </row>
    <row r="13" spans="1:6" x14ac:dyDescent="0.35">
      <c r="A13" s="91" t="s">
        <v>358</v>
      </c>
      <c r="B13" s="92">
        <v>1000</v>
      </c>
      <c r="C13" s="92">
        <v>1000</v>
      </c>
      <c r="D13" s="92">
        <v>1000</v>
      </c>
      <c r="E13" s="92">
        <v>1000</v>
      </c>
      <c r="F13" s="204"/>
    </row>
    <row r="14" spans="1:6" x14ac:dyDescent="0.35">
      <c r="A14" s="192" t="s">
        <v>359</v>
      </c>
      <c r="B14" s="205">
        <f>B12/B13</f>
        <v>-0.25</v>
      </c>
      <c r="C14" s="205">
        <f>C12/C13</f>
        <v>-0.2</v>
      </c>
      <c r="D14" s="205">
        <f>D12/D13</f>
        <v>0.3</v>
      </c>
      <c r="E14" s="205">
        <f>E12/E13</f>
        <v>0.15</v>
      </c>
      <c r="F14" s="206" t="s">
        <v>360</v>
      </c>
    </row>
    <row r="15" spans="1:6" ht="45" customHeight="1" x14ac:dyDescent="0.35">
      <c r="A15" s="2" t="s">
        <v>361</v>
      </c>
      <c r="B15" s="84" t="s">
        <v>362</v>
      </c>
    </row>
    <row r="17" spans="1:6" x14ac:dyDescent="0.35">
      <c r="A17" s="1" t="s">
        <v>363</v>
      </c>
    </row>
    <row r="18" spans="1:6" x14ac:dyDescent="0.35">
      <c r="A18" s="12" t="s">
        <v>324</v>
      </c>
      <c r="B18" s="201" t="s">
        <v>364</v>
      </c>
    </row>
    <row r="19" spans="1:6" ht="150" x14ac:dyDescent="0.35">
      <c r="A19" s="4" t="s">
        <v>355</v>
      </c>
      <c r="B19" s="84" t="s">
        <v>365</v>
      </c>
    </row>
    <row r="21" spans="1:6" x14ac:dyDescent="0.35">
      <c r="A21" s="88"/>
      <c r="B21" s="89" t="s">
        <v>316</v>
      </c>
      <c r="C21" s="89" t="s">
        <v>317</v>
      </c>
      <c r="D21" s="89" t="s">
        <v>318</v>
      </c>
      <c r="E21" s="89" t="s">
        <v>141</v>
      </c>
      <c r="F21" s="90" t="s">
        <v>115</v>
      </c>
    </row>
    <row r="22" spans="1:6" x14ac:dyDescent="0.35">
      <c r="A22" s="91" t="s">
        <v>366</v>
      </c>
      <c r="B22" s="203">
        <v>-250</v>
      </c>
      <c r="C22" s="203">
        <v>-450</v>
      </c>
      <c r="D22" s="203">
        <v>-150</v>
      </c>
      <c r="E22" s="203">
        <v>0</v>
      </c>
      <c r="F22" s="204"/>
    </row>
    <row r="23" spans="1:6" x14ac:dyDescent="0.35">
      <c r="A23" s="91" t="s">
        <v>358</v>
      </c>
      <c r="B23" s="92">
        <v>1000</v>
      </c>
      <c r="C23" s="92">
        <v>1000</v>
      </c>
      <c r="D23" s="92">
        <v>1000</v>
      </c>
      <c r="E23" s="92">
        <v>1000</v>
      </c>
      <c r="F23" s="204"/>
    </row>
    <row r="24" spans="1:6" x14ac:dyDescent="0.35">
      <c r="A24" s="207" t="s">
        <v>367</v>
      </c>
      <c r="B24" s="208">
        <f>B22/B23</f>
        <v>-0.25</v>
      </c>
      <c r="C24" s="208">
        <f>C22/C23</f>
        <v>-0.45</v>
      </c>
      <c r="D24" s="208">
        <f>D22/D23</f>
        <v>-0.15</v>
      </c>
      <c r="E24" s="208">
        <f>E22/E23</f>
        <v>0</v>
      </c>
      <c r="F24" s="209" t="s">
        <v>122</v>
      </c>
    </row>
    <row r="25" spans="1:6" ht="45" customHeight="1" x14ac:dyDescent="0.35">
      <c r="A25" s="2" t="s">
        <v>361</v>
      </c>
      <c r="B25" s="84" t="s">
        <v>368</v>
      </c>
    </row>
    <row r="27" spans="1:6" x14ac:dyDescent="0.35">
      <c r="A27" s="1" t="s">
        <v>369</v>
      </c>
    </row>
    <row r="28" spans="1:6" x14ac:dyDescent="0.35">
      <c r="A28" s="12" t="s">
        <v>324</v>
      </c>
      <c r="B28" s="201" t="s">
        <v>370</v>
      </c>
    </row>
    <row r="29" spans="1:6" ht="180" x14ac:dyDescent="0.35">
      <c r="A29" s="4" t="s">
        <v>355</v>
      </c>
      <c r="B29" s="84" t="s">
        <v>371</v>
      </c>
    </row>
    <row r="31" spans="1:6" x14ac:dyDescent="0.35">
      <c r="A31" s="88"/>
      <c r="B31" s="89" t="s">
        <v>316</v>
      </c>
      <c r="C31" s="89" t="s">
        <v>317</v>
      </c>
      <c r="D31" s="89" t="s">
        <v>318</v>
      </c>
      <c r="E31" s="90" t="s">
        <v>141</v>
      </c>
    </row>
    <row r="32" spans="1:6" x14ac:dyDescent="0.35">
      <c r="A32" s="91" t="s">
        <v>357</v>
      </c>
      <c r="B32" s="203">
        <v>-250</v>
      </c>
      <c r="C32" s="203">
        <v>-200</v>
      </c>
      <c r="D32" s="203">
        <v>300</v>
      </c>
      <c r="E32" s="210">
        <v>150</v>
      </c>
    </row>
    <row r="33" spans="1:6" x14ac:dyDescent="0.35">
      <c r="A33" s="91" t="s">
        <v>372</v>
      </c>
      <c r="B33" s="92">
        <v>350</v>
      </c>
      <c r="C33" s="92">
        <v>350</v>
      </c>
      <c r="D33" s="92">
        <v>100</v>
      </c>
      <c r="E33" s="178">
        <v>200</v>
      </c>
    </row>
    <row r="34" spans="1:6" x14ac:dyDescent="0.35">
      <c r="A34" s="207" t="s">
        <v>373</v>
      </c>
      <c r="B34" s="208">
        <f>B32/B33</f>
        <v>-0.7142857142857143</v>
      </c>
      <c r="C34" s="208">
        <f>C32/C33</f>
        <v>-0.5714285714285714</v>
      </c>
      <c r="D34" s="208">
        <f>D32/D33</f>
        <v>3</v>
      </c>
      <c r="E34" s="211">
        <f>E32/E33</f>
        <v>0.75</v>
      </c>
    </row>
    <row r="35" spans="1:6" ht="45" customHeight="1" x14ac:dyDescent="0.35">
      <c r="A35" s="2" t="s">
        <v>361</v>
      </c>
      <c r="B35" s="84" t="s">
        <v>374</v>
      </c>
    </row>
    <row r="37" spans="1:6" x14ac:dyDescent="0.35">
      <c r="A37" s="73" t="s">
        <v>375</v>
      </c>
      <c r="B37" s="76"/>
      <c r="C37" s="76"/>
      <c r="D37" s="76"/>
      <c r="E37" s="76"/>
      <c r="F37" s="76"/>
    </row>
    <row r="38" spans="1:6" x14ac:dyDescent="0.35">
      <c r="A38" s="88" t="s">
        <v>376</v>
      </c>
      <c r="B38" s="195" t="s">
        <v>377</v>
      </c>
      <c r="C38" s="89" t="s">
        <v>378</v>
      </c>
      <c r="D38" s="89" t="s">
        <v>379</v>
      </c>
      <c r="E38" s="89" t="s">
        <v>115</v>
      </c>
      <c r="F38" s="90" t="s">
        <v>380</v>
      </c>
    </row>
    <row r="39" spans="1:6" x14ac:dyDescent="0.35">
      <c r="A39" s="186" t="s">
        <v>381</v>
      </c>
      <c r="B39" s="99" t="s">
        <v>382</v>
      </c>
      <c r="C39" s="212">
        <v>-0.25</v>
      </c>
      <c r="D39" s="213">
        <f>Dashboard!B7</f>
        <v>-4.6315789473684213E-2</v>
      </c>
      <c r="E39" s="93" t="s">
        <v>120</v>
      </c>
      <c r="F39" s="97" t="s">
        <v>383</v>
      </c>
    </row>
    <row r="40" spans="1:6" x14ac:dyDescent="0.35">
      <c r="A40" s="186" t="s">
        <v>384</v>
      </c>
      <c r="B40" s="99" t="s">
        <v>385</v>
      </c>
      <c r="C40" s="212">
        <v>-0.45</v>
      </c>
      <c r="D40" s="213">
        <f>Dashboard!B8</f>
        <v>-6.4210526315789468E-2</v>
      </c>
      <c r="E40" s="93" t="s">
        <v>122</v>
      </c>
      <c r="F40" s="97" t="s">
        <v>383</v>
      </c>
    </row>
    <row r="41" spans="1:6" x14ac:dyDescent="0.35">
      <c r="A41" s="180" t="s">
        <v>386</v>
      </c>
      <c r="B41" s="214" t="s">
        <v>387</v>
      </c>
      <c r="C41" s="215">
        <v>-0.71399999999999997</v>
      </c>
      <c r="D41" s="216" t="s">
        <v>388</v>
      </c>
      <c r="E41" s="217" t="s">
        <v>389</v>
      </c>
      <c r="F41" s="104" t="s">
        <v>390</v>
      </c>
    </row>
  </sheetData>
  <conditionalFormatting sqref="B14:E14">
    <cfRule type="cellIs" dxfId="7" priority="1" operator="lessThan">
      <formula>0</formula>
    </cfRule>
  </conditionalFormatting>
  <conditionalFormatting sqref="B14:E14">
    <cfRule type="cellIs" dxfId="6" priority="2" operator="greaterThan">
      <formula>0</formula>
    </cfRule>
  </conditionalFormatting>
  <conditionalFormatting sqref="B24:E24">
    <cfRule type="cellIs" dxfId="5" priority="3" operator="lessThan">
      <formula>0</formula>
    </cfRule>
  </conditionalFormatting>
  <conditionalFormatting sqref="B24:E24">
    <cfRule type="cellIs" dxfId="4" priority="4" operator="greaterThan">
      <formula>0</formula>
    </cfRule>
  </conditionalFormatting>
  <conditionalFormatting sqref="B34:E34">
    <cfRule type="cellIs" dxfId="3" priority="5" operator="lessThan">
      <formula>0</formula>
    </cfRule>
  </conditionalFormatting>
  <conditionalFormatting sqref="B34:E34">
    <cfRule type="cellIs" dxfId="2" priority="6" operator="greater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ABDFB-A604-B648-B6A0-7720D18D1393}">
  <dimension ref="A1:F44"/>
  <sheetViews>
    <sheetView tabSelected="1" workbookViewId="0">
      <selection activeCell="E7" sqref="E7"/>
    </sheetView>
  </sheetViews>
  <sheetFormatPr baseColWidth="10" defaultRowHeight="63" customHeight="1" x14ac:dyDescent="0.35"/>
  <cols>
    <col min="1" max="1" width="40" style="3" customWidth="1"/>
    <col min="2" max="2" width="52.6640625" style="3" customWidth="1"/>
    <col min="3" max="3" width="21.6640625" style="3" customWidth="1"/>
    <col min="4" max="4" width="18.33203125" style="3" customWidth="1"/>
    <col min="5" max="5" width="46.6640625" style="3" customWidth="1"/>
    <col min="6" max="6" width="13.33203125" style="3" customWidth="1"/>
    <col min="7" max="16384" width="10.83203125" style="3"/>
  </cols>
  <sheetData>
    <row r="1" spans="1:6" ht="63" customHeight="1" x14ac:dyDescent="0.35">
      <c r="A1" s="7" t="s">
        <v>391</v>
      </c>
      <c r="B1" s="8"/>
      <c r="C1" s="8"/>
      <c r="D1" s="8"/>
      <c r="E1" s="8"/>
      <c r="F1" s="8"/>
    </row>
    <row r="3" spans="1:6" ht="63" customHeight="1" x14ac:dyDescent="0.35">
      <c r="A3" s="51" t="s">
        <v>262</v>
      </c>
      <c r="B3" s="76"/>
      <c r="C3" s="76"/>
      <c r="D3" s="76"/>
      <c r="E3" s="76"/>
      <c r="F3" s="76"/>
    </row>
    <row r="4" spans="1:6" ht="63" customHeight="1" x14ac:dyDescent="0.35">
      <c r="A4" s="78" t="s">
        <v>392</v>
      </c>
      <c r="B4" s="84" t="s">
        <v>393</v>
      </c>
    </row>
    <row r="5" spans="1:6" ht="63" customHeight="1" x14ac:dyDescent="0.35">
      <c r="A5" s="79" t="s">
        <v>394</v>
      </c>
      <c r="B5" s="84" t="s">
        <v>395</v>
      </c>
    </row>
    <row r="6" spans="1:6" ht="63" customHeight="1" x14ac:dyDescent="0.35">
      <c r="A6" s="2" t="s">
        <v>396</v>
      </c>
      <c r="B6" s="84" t="s">
        <v>397</v>
      </c>
    </row>
    <row r="8" spans="1:6" ht="63" customHeight="1" x14ac:dyDescent="0.35">
      <c r="A8" s="51" t="s">
        <v>398</v>
      </c>
      <c r="B8" s="76"/>
      <c r="C8" s="76"/>
      <c r="D8" s="76"/>
      <c r="E8" s="76"/>
      <c r="F8" s="76"/>
    </row>
    <row r="9" spans="1:6" ht="63" customHeight="1" x14ac:dyDescent="0.35">
      <c r="A9" s="88" t="s">
        <v>399</v>
      </c>
      <c r="B9" s="89" t="s">
        <v>400</v>
      </c>
      <c r="C9" s="249" t="s">
        <v>401</v>
      </c>
      <c r="D9" s="250" t="s">
        <v>402</v>
      </c>
    </row>
    <row r="10" spans="1:6" ht="63" customHeight="1" x14ac:dyDescent="0.35">
      <c r="A10" s="235" t="s">
        <v>403</v>
      </c>
      <c r="B10" s="251" t="s">
        <v>404</v>
      </c>
      <c r="C10" s="236" t="s">
        <v>405</v>
      </c>
      <c r="D10" s="237" t="s">
        <v>406</v>
      </c>
    </row>
    <row r="11" spans="1:6" ht="63" customHeight="1" x14ac:dyDescent="0.35">
      <c r="A11" s="91" t="s">
        <v>407</v>
      </c>
      <c r="B11" s="252" t="s">
        <v>404</v>
      </c>
      <c r="C11" s="197" t="s">
        <v>408</v>
      </c>
      <c r="D11" s="198" t="s">
        <v>409</v>
      </c>
    </row>
    <row r="12" spans="1:6" ht="63" customHeight="1" x14ac:dyDescent="0.35">
      <c r="A12" s="253" t="s">
        <v>410</v>
      </c>
      <c r="B12" s="254" t="s">
        <v>404</v>
      </c>
      <c r="C12" s="255" t="s">
        <v>411</v>
      </c>
      <c r="D12" s="256" t="s">
        <v>412</v>
      </c>
    </row>
    <row r="13" spans="1:6" ht="63" customHeight="1" x14ac:dyDescent="0.35">
      <c r="A13" s="91" t="s">
        <v>413</v>
      </c>
      <c r="B13" s="257" t="s">
        <v>414</v>
      </c>
      <c r="C13" s="197" t="s">
        <v>415</v>
      </c>
      <c r="D13" s="198" t="s">
        <v>416</v>
      </c>
    </row>
    <row r="14" spans="1:6" ht="63" customHeight="1" x14ac:dyDescent="0.35">
      <c r="A14" s="258" t="s">
        <v>417</v>
      </c>
      <c r="B14" s="259" t="s">
        <v>414</v>
      </c>
      <c r="C14" s="260" t="s">
        <v>418</v>
      </c>
      <c r="D14" s="261" t="s">
        <v>419</v>
      </c>
    </row>
    <row r="16" spans="1:6" ht="63" customHeight="1" x14ac:dyDescent="0.35">
      <c r="A16" s="51" t="s">
        <v>420</v>
      </c>
      <c r="B16" s="76"/>
      <c r="C16" s="76"/>
      <c r="D16" s="76"/>
      <c r="E16" s="76"/>
      <c r="F16" s="76"/>
    </row>
    <row r="17" spans="1:4" ht="63" customHeight="1" x14ac:dyDescent="0.35">
      <c r="A17" s="262" t="s">
        <v>421</v>
      </c>
      <c r="B17" s="89" t="s">
        <v>422</v>
      </c>
      <c r="C17" s="89" t="s">
        <v>23</v>
      </c>
      <c r="D17" s="90" t="s">
        <v>423</v>
      </c>
    </row>
    <row r="18" spans="1:4" ht="63" customHeight="1" x14ac:dyDescent="0.35">
      <c r="A18" s="91" t="s">
        <v>424</v>
      </c>
      <c r="B18" s="263">
        <v>300</v>
      </c>
      <c r="C18" s="264">
        <v>0.08</v>
      </c>
      <c r="D18" s="265">
        <f>B18*C18</f>
        <v>24</v>
      </c>
    </row>
    <row r="19" spans="1:4" ht="63" customHeight="1" x14ac:dyDescent="0.35">
      <c r="A19" s="235" t="s">
        <v>425</v>
      </c>
      <c r="B19" s="266">
        <v>150</v>
      </c>
      <c r="C19" s="267">
        <v>0.06</v>
      </c>
      <c r="D19" s="268">
        <f>B19*C19</f>
        <v>9</v>
      </c>
    </row>
    <row r="20" spans="1:4" ht="63" customHeight="1" x14ac:dyDescent="0.35">
      <c r="A20" s="91" t="s">
        <v>426</v>
      </c>
      <c r="B20" s="263">
        <v>100</v>
      </c>
      <c r="C20" s="264">
        <v>0.04</v>
      </c>
      <c r="D20" s="265">
        <f>B20*C20</f>
        <v>4</v>
      </c>
    </row>
    <row r="21" spans="1:4" ht="63" customHeight="1" x14ac:dyDescent="0.35">
      <c r="A21" s="269" t="s">
        <v>427</v>
      </c>
      <c r="B21" s="270">
        <f>SUM(B18:B20)</f>
        <v>550</v>
      </c>
      <c r="C21" s="214"/>
      <c r="D21" s="271">
        <f>SUM(D18:D20)</f>
        <v>37</v>
      </c>
    </row>
    <row r="23" spans="1:4" ht="63" customHeight="1" x14ac:dyDescent="0.35">
      <c r="A23" s="272" t="s">
        <v>428</v>
      </c>
      <c r="B23" s="273" t="s">
        <v>422</v>
      </c>
      <c r="C23" s="273" t="s">
        <v>23</v>
      </c>
      <c r="D23" s="274" t="s">
        <v>429</v>
      </c>
    </row>
    <row r="24" spans="1:4" ht="63" customHeight="1" x14ac:dyDescent="0.35">
      <c r="A24" s="91" t="s">
        <v>430</v>
      </c>
      <c r="B24" s="263">
        <v>250</v>
      </c>
      <c r="C24" s="264">
        <v>0.03</v>
      </c>
      <c r="D24" s="265">
        <f>B24*C24</f>
        <v>7.5</v>
      </c>
    </row>
    <row r="25" spans="1:4" ht="63" customHeight="1" x14ac:dyDescent="0.35">
      <c r="A25" s="253" t="s">
        <v>431</v>
      </c>
      <c r="B25" s="275">
        <v>100</v>
      </c>
      <c r="C25" s="276">
        <v>5.5E-2</v>
      </c>
      <c r="D25" s="277">
        <f>B25*C25</f>
        <v>5.5</v>
      </c>
    </row>
    <row r="26" spans="1:4" ht="63" customHeight="1" x14ac:dyDescent="0.35">
      <c r="A26" s="278" t="s">
        <v>432</v>
      </c>
      <c r="B26" s="279">
        <f>SUM(B24:B25)</f>
        <v>350</v>
      </c>
      <c r="C26" s="214"/>
      <c r="D26" s="280">
        <f>SUM(D24:D25)</f>
        <v>13</v>
      </c>
    </row>
    <row r="28" spans="1:4" ht="63" customHeight="1" x14ac:dyDescent="0.35">
      <c r="A28" s="2" t="s">
        <v>433</v>
      </c>
    </row>
    <row r="29" spans="1:4" ht="63" customHeight="1" x14ac:dyDescent="0.35">
      <c r="A29" s="4" t="s">
        <v>434</v>
      </c>
      <c r="B29" s="281">
        <f>B21-B26</f>
        <v>200</v>
      </c>
      <c r="C29" s="155" t="s">
        <v>435</v>
      </c>
    </row>
    <row r="30" spans="1:4" ht="63" customHeight="1" x14ac:dyDescent="0.35">
      <c r="A30" s="4" t="s">
        <v>436</v>
      </c>
      <c r="B30" s="282">
        <f>B21/B26</f>
        <v>1.5714285714285714</v>
      </c>
      <c r="C30" s="77" t="s">
        <v>437</v>
      </c>
    </row>
    <row r="31" spans="1:4" ht="63" customHeight="1" x14ac:dyDescent="0.35">
      <c r="A31" s="4" t="s">
        <v>438</v>
      </c>
      <c r="B31" s="283">
        <f>D21-D26</f>
        <v>24</v>
      </c>
      <c r="C31" s="77" t="s">
        <v>439</v>
      </c>
    </row>
    <row r="33" spans="1:6" ht="63" customHeight="1" x14ac:dyDescent="0.35">
      <c r="A33" s="51" t="s">
        <v>440</v>
      </c>
      <c r="B33" s="76"/>
      <c r="C33" s="76"/>
      <c r="D33" s="76"/>
      <c r="E33" s="76"/>
      <c r="F33" s="76"/>
    </row>
    <row r="34" spans="1:6" ht="63" customHeight="1" x14ac:dyDescent="0.35">
      <c r="A34" s="88"/>
      <c r="B34" s="89" t="s">
        <v>441</v>
      </c>
      <c r="C34" s="89" t="s">
        <v>150</v>
      </c>
      <c r="D34" s="89" t="s">
        <v>442</v>
      </c>
      <c r="E34" s="90" t="s">
        <v>443</v>
      </c>
    </row>
    <row r="35" spans="1:6" ht="63" customHeight="1" x14ac:dyDescent="0.35">
      <c r="A35" s="284" t="s">
        <v>444</v>
      </c>
      <c r="B35" s="241">
        <f>D21</f>
        <v>37</v>
      </c>
      <c r="C35" s="241">
        <f>B18*(C18+0.01)+B19*(C19+0.01)+B20*(C20+0.01)</f>
        <v>42.5</v>
      </c>
      <c r="D35" s="285">
        <f>C35-B35</f>
        <v>5.5</v>
      </c>
      <c r="E35" s="198" t="s">
        <v>445</v>
      </c>
    </row>
    <row r="36" spans="1:6" ht="63" customHeight="1" x14ac:dyDescent="0.35">
      <c r="A36" s="286" t="s">
        <v>446</v>
      </c>
      <c r="B36" s="241">
        <f>D26</f>
        <v>13</v>
      </c>
      <c r="C36" s="241">
        <f>B24*(C24+0.01)+B25*(C25+0.01)</f>
        <v>16.5</v>
      </c>
      <c r="D36" s="287">
        <f>C36-B36</f>
        <v>3.5</v>
      </c>
      <c r="E36" s="198" t="s">
        <v>447</v>
      </c>
    </row>
    <row r="37" spans="1:6" ht="63" customHeight="1" x14ac:dyDescent="0.35">
      <c r="A37" s="192" t="s">
        <v>448</v>
      </c>
      <c r="B37" s="288">
        <f>B35-B36</f>
        <v>24</v>
      </c>
      <c r="C37" s="288">
        <f>C35-C36</f>
        <v>26</v>
      </c>
      <c r="D37" s="289">
        <f>C37-B37</f>
        <v>2</v>
      </c>
      <c r="E37" s="290" t="s">
        <v>449</v>
      </c>
    </row>
    <row r="39" spans="1:6" ht="63" customHeight="1" x14ac:dyDescent="0.35">
      <c r="A39" s="234" t="s">
        <v>450</v>
      </c>
      <c r="B39" s="77" t="s">
        <v>451</v>
      </c>
      <c r="C39" s="291">
        <f>B29*0.01</f>
        <v>2</v>
      </c>
      <c r="D39" s="77" t="s">
        <v>452</v>
      </c>
    </row>
    <row r="41" spans="1:6" ht="63" customHeight="1" x14ac:dyDescent="0.35">
      <c r="A41" s="57" t="s">
        <v>453</v>
      </c>
      <c r="B41" s="157"/>
      <c r="C41" s="157"/>
      <c r="D41" s="157"/>
      <c r="E41" s="157"/>
    </row>
    <row r="42" spans="1:6" ht="63" customHeight="1" x14ac:dyDescent="0.35">
      <c r="A42" s="155" t="s">
        <v>454</v>
      </c>
      <c r="B42" s="84" t="s">
        <v>455</v>
      </c>
    </row>
    <row r="43" spans="1:6" ht="63" customHeight="1" x14ac:dyDescent="0.35">
      <c r="A43" s="79" t="s">
        <v>456</v>
      </c>
      <c r="B43" s="84" t="s">
        <v>457</v>
      </c>
    </row>
    <row r="44" spans="1:6" ht="63" customHeight="1" x14ac:dyDescent="0.35">
      <c r="A44" s="78" t="s">
        <v>305</v>
      </c>
      <c r="B44" s="84" t="s">
        <v>458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1F6A-7AEE-5F47-9D1D-C9EE958AE36A}">
  <dimension ref="A1:F37"/>
  <sheetViews>
    <sheetView topLeftCell="A29" workbookViewId="0">
      <selection activeCell="B37" sqref="B37"/>
    </sheetView>
  </sheetViews>
  <sheetFormatPr baseColWidth="10" defaultRowHeight="29" x14ac:dyDescent="0.35"/>
  <cols>
    <col min="1" max="1" width="55" style="3" customWidth="1"/>
    <col min="2" max="2" width="38.83203125" style="3" customWidth="1"/>
    <col min="3" max="4" width="25" style="3" customWidth="1"/>
    <col min="5" max="5" width="41.6640625" style="3" customWidth="1"/>
    <col min="6" max="6" width="13.33203125" style="3" customWidth="1"/>
    <col min="7" max="16384" width="10.83203125" style="3"/>
  </cols>
  <sheetData>
    <row r="1" spans="1:6" x14ac:dyDescent="0.35">
      <c r="A1" s="7" t="s">
        <v>459</v>
      </c>
      <c r="B1" s="8"/>
      <c r="C1" s="8"/>
      <c r="D1" s="8"/>
      <c r="E1" s="8"/>
      <c r="F1" s="8"/>
    </row>
    <row r="3" spans="1:6" x14ac:dyDescent="0.35">
      <c r="A3" s="51" t="s">
        <v>460</v>
      </c>
      <c r="B3" s="76"/>
      <c r="C3" s="76"/>
      <c r="D3" s="76"/>
      <c r="E3" s="76"/>
      <c r="F3" s="76"/>
    </row>
    <row r="5" spans="1:6" x14ac:dyDescent="0.35">
      <c r="A5" s="88" t="s">
        <v>461</v>
      </c>
      <c r="B5" s="89" t="s">
        <v>462</v>
      </c>
      <c r="C5" s="90" t="s">
        <v>463</v>
      </c>
    </row>
    <row r="6" spans="1:6" ht="50" customHeight="1" x14ac:dyDescent="0.35">
      <c r="A6" s="91" t="s">
        <v>464</v>
      </c>
      <c r="B6" s="197" t="s">
        <v>465</v>
      </c>
      <c r="C6" s="198" t="s">
        <v>466</v>
      </c>
    </row>
    <row r="7" spans="1:6" ht="50" customHeight="1" x14ac:dyDescent="0.35">
      <c r="A7" s="235" t="s">
        <v>467</v>
      </c>
      <c r="B7" s="236" t="s">
        <v>468</v>
      </c>
      <c r="C7" s="237" t="s">
        <v>469</v>
      </c>
    </row>
    <row r="8" spans="1:6" ht="50" customHeight="1" x14ac:dyDescent="0.35">
      <c r="A8" s="91" t="s">
        <v>470</v>
      </c>
      <c r="B8" s="197" t="s">
        <v>471</v>
      </c>
      <c r="C8" s="198" t="s">
        <v>472</v>
      </c>
    </row>
    <row r="9" spans="1:6" ht="50" customHeight="1" x14ac:dyDescent="0.35">
      <c r="A9" s="235" t="s">
        <v>473</v>
      </c>
      <c r="B9" s="236" t="s">
        <v>474</v>
      </c>
      <c r="C9" s="237" t="s">
        <v>475</v>
      </c>
    </row>
    <row r="10" spans="1:6" ht="50" customHeight="1" x14ac:dyDescent="0.35">
      <c r="A10" s="100" t="s">
        <v>476</v>
      </c>
      <c r="B10" s="199" t="s">
        <v>477</v>
      </c>
      <c r="C10" s="200" t="s">
        <v>478</v>
      </c>
    </row>
    <row r="12" spans="1:6" x14ac:dyDescent="0.35">
      <c r="A12" s="51" t="s">
        <v>479</v>
      </c>
      <c r="B12" s="76"/>
      <c r="C12" s="76"/>
      <c r="D12" s="76"/>
      <c r="E12" s="76"/>
      <c r="F12" s="76"/>
    </row>
    <row r="13" spans="1:6" ht="270" x14ac:dyDescent="0.35">
      <c r="A13" s="2" t="s">
        <v>480</v>
      </c>
      <c r="B13" s="84" t="s">
        <v>481</v>
      </c>
    </row>
    <row r="15" spans="1:6" x14ac:dyDescent="0.35">
      <c r="A15" s="88"/>
      <c r="B15" s="89" t="s">
        <v>482</v>
      </c>
      <c r="C15" s="89" t="s">
        <v>483</v>
      </c>
      <c r="D15" s="90" t="s">
        <v>484</v>
      </c>
    </row>
    <row r="16" spans="1:6" x14ac:dyDescent="0.35">
      <c r="A16" s="91" t="s">
        <v>485</v>
      </c>
      <c r="B16" s="93" t="s">
        <v>486</v>
      </c>
      <c r="C16" s="93" t="s">
        <v>487</v>
      </c>
      <c r="D16" s="97" t="s">
        <v>488</v>
      </c>
    </row>
    <row r="17" spans="1:5" x14ac:dyDescent="0.35">
      <c r="A17" s="238" t="s">
        <v>489</v>
      </c>
      <c r="B17" s="239">
        <v>0.03</v>
      </c>
      <c r="C17" s="239">
        <v>0.03</v>
      </c>
      <c r="D17" s="240">
        <v>0.03</v>
      </c>
    </row>
    <row r="19" spans="1:5" x14ac:dyDescent="0.35">
      <c r="A19" s="57" t="s">
        <v>490</v>
      </c>
      <c r="B19" s="157"/>
      <c r="C19" s="157"/>
      <c r="D19" s="157"/>
      <c r="E19" s="157"/>
    </row>
    <row r="20" spans="1:5" x14ac:dyDescent="0.35">
      <c r="A20" s="88"/>
      <c r="B20" s="89" t="s">
        <v>491</v>
      </c>
      <c r="C20" s="89" t="s">
        <v>492</v>
      </c>
      <c r="D20" s="89" t="s">
        <v>493</v>
      </c>
      <c r="E20" s="90" t="s">
        <v>401</v>
      </c>
    </row>
    <row r="21" spans="1:5" x14ac:dyDescent="0.35">
      <c r="A21" s="91" t="s">
        <v>494</v>
      </c>
      <c r="B21" s="241">
        <v>40</v>
      </c>
      <c r="C21" s="241">
        <v>35</v>
      </c>
      <c r="D21" s="241">
        <v>37.5</v>
      </c>
      <c r="E21" s="204"/>
    </row>
    <row r="22" spans="1:5" ht="60" x14ac:dyDescent="0.35">
      <c r="A22" s="242" t="s">
        <v>495</v>
      </c>
      <c r="B22" s="243">
        <v>40</v>
      </c>
      <c r="C22" s="243">
        <v>45</v>
      </c>
      <c r="D22" s="243">
        <v>42.5</v>
      </c>
      <c r="E22" s="198" t="s">
        <v>496</v>
      </c>
    </row>
    <row r="23" spans="1:5" ht="90" x14ac:dyDescent="0.35">
      <c r="A23" s="91" t="s">
        <v>497</v>
      </c>
      <c r="B23" s="241">
        <v>16</v>
      </c>
      <c r="C23" s="241">
        <v>16</v>
      </c>
      <c r="D23" s="241">
        <v>16</v>
      </c>
      <c r="E23" s="198" t="s">
        <v>498</v>
      </c>
    </row>
    <row r="24" spans="1:5" x14ac:dyDescent="0.35">
      <c r="A24" s="244" t="s">
        <v>499</v>
      </c>
      <c r="B24" s="245">
        <f>B22-B23</f>
        <v>24</v>
      </c>
      <c r="C24" s="245">
        <f>C22-C23</f>
        <v>29</v>
      </c>
      <c r="D24" s="245">
        <f>D22-D23</f>
        <v>26.5</v>
      </c>
      <c r="E24" s="204"/>
    </row>
    <row r="25" spans="1:5" x14ac:dyDescent="0.35">
      <c r="A25" s="91" t="s">
        <v>500</v>
      </c>
      <c r="B25" s="241">
        <f>B21-12</f>
        <v>28</v>
      </c>
      <c r="C25" s="241">
        <f>C21-12</f>
        <v>23</v>
      </c>
      <c r="D25" s="241">
        <f>D21-12</f>
        <v>25.5</v>
      </c>
      <c r="E25" s="204"/>
    </row>
    <row r="26" spans="1:5" x14ac:dyDescent="0.35">
      <c r="A26" s="180" t="s">
        <v>501</v>
      </c>
      <c r="B26" s="246">
        <f>B24-B25</f>
        <v>-4</v>
      </c>
      <c r="C26" s="246">
        <f>C24-C25</f>
        <v>6</v>
      </c>
      <c r="D26" s="246">
        <f>D24-D25</f>
        <v>1</v>
      </c>
      <c r="E26" s="247"/>
    </row>
    <row r="28" spans="1:5" x14ac:dyDescent="0.35">
      <c r="A28" s="51" t="s">
        <v>502</v>
      </c>
      <c r="B28" s="76"/>
      <c r="C28" s="76"/>
      <c r="D28" s="76"/>
      <c r="E28" s="76"/>
    </row>
    <row r="29" spans="1:5" ht="55" customHeight="1" x14ac:dyDescent="0.35">
      <c r="A29" s="79" t="s">
        <v>503</v>
      </c>
      <c r="B29" s="84" t="s">
        <v>504</v>
      </c>
    </row>
    <row r="30" spans="1:5" ht="55" customHeight="1" x14ac:dyDescent="0.35">
      <c r="A30" s="155" t="s">
        <v>505</v>
      </c>
      <c r="B30" s="84" t="s">
        <v>506</v>
      </c>
    </row>
    <row r="31" spans="1:5" ht="55" customHeight="1" x14ac:dyDescent="0.35">
      <c r="A31" s="80" t="s">
        <v>507</v>
      </c>
      <c r="B31" s="84" t="s">
        <v>508</v>
      </c>
    </row>
    <row r="33" spans="1:5" x14ac:dyDescent="0.35">
      <c r="A33" s="57" t="s">
        <v>509</v>
      </c>
      <c r="B33" s="157"/>
      <c r="C33" s="157"/>
      <c r="D33" s="157"/>
      <c r="E33" s="157"/>
    </row>
    <row r="34" spans="1:5" ht="50" customHeight="1" x14ac:dyDescent="0.35">
      <c r="A34" s="82" t="s">
        <v>510</v>
      </c>
      <c r="B34" s="84" t="s">
        <v>511</v>
      </c>
    </row>
    <row r="35" spans="1:5" ht="50" customHeight="1" x14ac:dyDescent="0.35">
      <c r="A35" s="82" t="s">
        <v>512</v>
      </c>
      <c r="B35" s="84" t="s">
        <v>513</v>
      </c>
    </row>
    <row r="36" spans="1:5" ht="50" customHeight="1" x14ac:dyDescent="0.35">
      <c r="A36" s="82" t="s">
        <v>514</v>
      </c>
      <c r="B36" s="84" t="s">
        <v>515</v>
      </c>
    </row>
    <row r="37" spans="1:5" ht="50" customHeight="1" x14ac:dyDescent="0.35">
      <c r="A37" s="248" t="s">
        <v>305</v>
      </c>
      <c r="B37" s="84" t="s">
        <v>516</v>
      </c>
    </row>
  </sheetData>
  <conditionalFormatting sqref="B26:D26">
    <cfRule type="cellIs" dxfId="1" priority="1" operator="lessThan">
      <formula>0</formula>
    </cfRule>
  </conditionalFormatting>
  <conditionalFormatting sqref="B26:D26">
    <cfRule type="cellIs" dxfId="0" priority="2" operator="greaterThan">
      <formula>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0335B-F5B9-F34C-B689-DB6C19B0CA4C}">
  <dimension ref="A1:F32"/>
  <sheetViews>
    <sheetView workbookViewId="0">
      <selection activeCell="R19" sqref="R19"/>
    </sheetView>
  </sheetViews>
  <sheetFormatPr baseColWidth="10" defaultRowHeight="29" x14ac:dyDescent="0.35"/>
  <cols>
    <col min="1" max="16384" width="10.83203125" style="3"/>
  </cols>
  <sheetData>
    <row r="1" spans="1:6" x14ac:dyDescent="0.35">
      <c r="A1" s="7" t="s">
        <v>517</v>
      </c>
      <c r="B1" s="8"/>
      <c r="C1" s="8"/>
      <c r="D1" s="8"/>
      <c r="E1" s="8"/>
      <c r="F1" s="8"/>
    </row>
    <row r="3" spans="1:6" x14ac:dyDescent="0.35">
      <c r="A3" s="51" t="s">
        <v>518</v>
      </c>
      <c r="B3" s="76"/>
      <c r="C3" s="76"/>
      <c r="D3" s="76"/>
      <c r="E3" s="76"/>
      <c r="F3" s="76"/>
    </row>
    <row r="4" spans="1:6" x14ac:dyDescent="0.35">
      <c r="A4" s="2" t="s">
        <v>519</v>
      </c>
      <c r="B4" s="3" t="s">
        <v>520</v>
      </c>
    </row>
    <row r="5" spans="1:6" x14ac:dyDescent="0.35">
      <c r="A5" s="2" t="s">
        <v>521</v>
      </c>
      <c r="B5" s="3" t="s">
        <v>522</v>
      </c>
    </row>
    <row r="6" spans="1:6" x14ac:dyDescent="0.35">
      <c r="A6" s="79" t="s">
        <v>523</v>
      </c>
      <c r="B6" s="3" t="s">
        <v>524</v>
      </c>
    </row>
    <row r="8" spans="1:6" x14ac:dyDescent="0.35">
      <c r="A8" s="51" t="s">
        <v>525</v>
      </c>
      <c r="B8" s="76"/>
      <c r="C8" s="76"/>
      <c r="D8" s="76"/>
      <c r="E8" s="76"/>
      <c r="F8" s="76"/>
    </row>
    <row r="9" spans="1:6" x14ac:dyDescent="0.35">
      <c r="A9" s="218" t="s">
        <v>526</v>
      </c>
      <c r="B9" s="13" t="s">
        <v>527</v>
      </c>
      <c r="C9" s="13" t="s">
        <v>528</v>
      </c>
      <c r="D9" s="13" t="s">
        <v>529</v>
      </c>
      <c r="E9" s="13" t="s">
        <v>530</v>
      </c>
    </row>
    <row r="10" spans="1:6" x14ac:dyDescent="0.35">
      <c r="A10" s="3" t="s">
        <v>531</v>
      </c>
      <c r="B10" s="148">
        <v>100</v>
      </c>
      <c r="C10" s="219">
        <v>0.04</v>
      </c>
      <c r="D10" s="220">
        <f>B10*C10</f>
        <v>4</v>
      </c>
      <c r="E10" s="3" t="s">
        <v>532</v>
      </c>
    </row>
    <row r="11" spans="1:6" x14ac:dyDescent="0.35">
      <c r="A11" s="53" t="s">
        <v>61</v>
      </c>
      <c r="B11" s="147">
        <v>200</v>
      </c>
      <c r="C11" s="221">
        <v>6.5000000000000002E-2</v>
      </c>
      <c r="D11" s="222">
        <f>B11*C11</f>
        <v>13</v>
      </c>
      <c r="E11" s="53" t="s">
        <v>533</v>
      </c>
    </row>
    <row r="12" spans="1:6" x14ac:dyDescent="0.35">
      <c r="A12" s="3" t="s">
        <v>62</v>
      </c>
      <c r="B12" s="148">
        <v>600</v>
      </c>
      <c r="C12" s="219">
        <v>8.5000000000000006E-2</v>
      </c>
      <c r="D12" s="220">
        <f>B12*C12</f>
        <v>51.000000000000007</v>
      </c>
      <c r="E12" s="3" t="s">
        <v>534</v>
      </c>
    </row>
    <row r="13" spans="1:6" x14ac:dyDescent="0.35">
      <c r="A13" s="53" t="s">
        <v>63</v>
      </c>
      <c r="B13" s="147">
        <v>50</v>
      </c>
      <c r="C13" s="221">
        <v>5.5E-2</v>
      </c>
      <c r="D13" s="222">
        <f>B13*C13</f>
        <v>2.75</v>
      </c>
      <c r="E13" s="53" t="s">
        <v>535</v>
      </c>
    </row>
    <row r="14" spans="1:6" x14ac:dyDescent="0.35">
      <c r="A14" s="40" t="s">
        <v>536</v>
      </c>
    </row>
    <row r="15" spans="1:6" x14ac:dyDescent="0.35">
      <c r="A15" s="54" t="s">
        <v>537</v>
      </c>
      <c r="B15" s="149">
        <f>SUM(B10:B13)</f>
        <v>950</v>
      </c>
      <c r="C15" s="223">
        <f>D15/B15</f>
        <v>7.4473684210526317E-2</v>
      </c>
      <c r="D15" s="224">
        <f>SUM(D10:D13)</f>
        <v>70.75</v>
      </c>
      <c r="E15" s="54" t="s">
        <v>538</v>
      </c>
    </row>
    <row r="17" spans="1:6" x14ac:dyDescent="0.35">
      <c r="A17" s="225" t="s">
        <v>539</v>
      </c>
      <c r="B17" s="150" t="s">
        <v>527</v>
      </c>
      <c r="C17" s="150" t="s">
        <v>528</v>
      </c>
      <c r="D17" s="150" t="s">
        <v>529</v>
      </c>
      <c r="E17" s="150" t="s">
        <v>530</v>
      </c>
    </row>
    <row r="18" spans="1:6" x14ac:dyDescent="0.35">
      <c r="A18" s="3" t="s">
        <v>67</v>
      </c>
      <c r="B18" s="148">
        <v>300</v>
      </c>
      <c r="C18" s="219">
        <v>3.5000000000000003E-2</v>
      </c>
      <c r="D18" s="220">
        <f>B18*C18</f>
        <v>10.500000000000002</v>
      </c>
      <c r="E18" s="3" t="s">
        <v>540</v>
      </c>
    </row>
    <row r="19" spans="1:6" x14ac:dyDescent="0.35">
      <c r="A19" s="46" t="s">
        <v>68</v>
      </c>
      <c r="B19" s="151">
        <v>350</v>
      </c>
      <c r="C19" s="226">
        <v>6.5000000000000002E-2</v>
      </c>
      <c r="D19" s="227">
        <f>B19*C19</f>
        <v>22.75</v>
      </c>
      <c r="E19" s="46" t="s">
        <v>541</v>
      </c>
    </row>
    <row r="20" spans="1:6" x14ac:dyDescent="0.35">
      <c r="A20" s="3" t="s">
        <v>542</v>
      </c>
      <c r="B20" s="148">
        <v>150</v>
      </c>
      <c r="C20" s="219">
        <v>5.8000000000000003E-2</v>
      </c>
      <c r="D20" s="220">
        <f>B20*C20</f>
        <v>8.7000000000000011</v>
      </c>
      <c r="E20" s="3" t="s">
        <v>543</v>
      </c>
    </row>
    <row r="21" spans="1:6" x14ac:dyDescent="0.35">
      <c r="A21" s="40" t="s">
        <v>544</v>
      </c>
    </row>
    <row r="22" spans="1:6" x14ac:dyDescent="0.35">
      <c r="A22" s="152" t="s">
        <v>545</v>
      </c>
      <c r="B22" s="153">
        <f>SUM(B18:B20)</f>
        <v>800</v>
      </c>
      <c r="C22" s="228">
        <f>D22/B22</f>
        <v>5.2437500000000005E-2</v>
      </c>
      <c r="D22" s="229">
        <f>SUM(D18:D20)</f>
        <v>41.95</v>
      </c>
      <c r="E22" s="152" t="s">
        <v>546</v>
      </c>
    </row>
    <row r="24" spans="1:6" x14ac:dyDescent="0.35">
      <c r="A24" s="51" t="s">
        <v>547</v>
      </c>
      <c r="B24" s="76"/>
      <c r="C24" s="76"/>
      <c r="D24" s="76"/>
      <c r="E24" s="76"/>
      <c r="F24" s="76"/>
    </row>
    <row r="25" spans="1:6" x14ac:dyDescent="0.35">
      <c r="A25" s="12" t="s">
        <v>113</v>
      </c>
      <c r="B25" s="12" t="s">
        <v>548</v>
      </c>
      <c r="C25" s="12" t="s">
        <v>530</v>
      </c>
      <c r="D25" s="13" t="s">
        <v>549</v>
      </c>
      <c r="E25" s="12" t="s">
        <v>550</v>
      </c>
    </row>
    <row r="26" spans="1:6" x14ac:dyDescent="0.35">
      <c r="A26" s="2" t="s">
        <v>551</v>
      </c>
      <c r="B26" s="3" t="s">
        <v>552</v>
      </c>
      <c r="C26" s="3" t="s">
        <v>553</v>
      </c>
      <c r="D26" s="230">
        <f>D15-D22</f>
        <v>28.799999999999997</v>
      </c>
      <c r="E26" s="3" t="s">
        <v>554</v>
      </c>
    </row>
    <row r="27" spans="1:6" x14ac:dyDescent="0.35">
      <c r="A27" s="231" t="s">
        <v>130</v>
      </c>
      <c r="B27" s="53" t="s">
        <v>555</v>
      </c>
      <c r="C27" s="53" t="s">
        <v>556</v>
      </c>
      <c r="D27" s="232">
        <f>D26/B15</f>
        <v>3.0315789473684209E-2</v>
      </c>
      <c r="E27" s="53" t="s">
        <v>557</v>
      </c>
    </row>
    <row r="28" spans="1:6" x14ac:dyDescent="0.35">
      <c r="A28" s="2" t="s">
        <v>558</v>
      </c>
      <c r="B28" s="3" t="s">
        <v>559</v>
      </c>
      <c r="C28" s="3" t="s">
        <v>560</v>
      </c>
      <c r="D28" s="233">
        <f>C15-C22</f>
        <v>2.2036184210526312E-2</v>
      </c>
      <c r="E28" s="3" t="s">
        <v>561</v>
      </c>
    </row>
    <row r="30" spans="1:6" x14ac:dyDescent="0.35">
      <c r="A30" s="61" t="s">
        <v>562</v>
      </c>
      <c r="B30" s="63"/>
      <c r="C30" s="63"/>
      <c r="D30" s="63"/>
      <c r="E30" s="63"/>
    </row>
    <row r="31" spans="1:6" x14ac:dyDescent="0.35">
      <c r="A31" s="2" t="s">
        <v>563</v>
      </c>
      <c r="B31" s="3" t="s">
        <v>564</v>
      </c>
    </row>
    <row r="32" spans="1:6" x14ac:dyDescent="0.35">
      <c r="A32" s="234" t="s">
        <v>565</v>
      </c>
      <c r="B32" s="3" t="s">
        <v>566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Assumptions</vt:lpstr>
      <vt:lpstr>Liquidity Gap</vt:lpstr>
      <vt:lpstr>Rate Sensitivity Gap</vt:lpstr>
      <vt:lpstr>ALM Notes &amp; Guide</vt:lpstr>
      <vt:lpstr>Illust - Structural Liquidity</vt:lpstr>
      <vt:lpstr>Illust - Periodic &amp; Cumul Gap</vt:lpstr>
      <vt:lpstr>Illust - Liquidity Ratios</vt:lpstr>
      <vt:lpstr>Illust - RSA vs RSL</vt:lpstr>
      <vt:lpstr>Illust - Fixed vs Floating</vt:lpstr>
      <vt:lpstr>Illust - NII &amp; NIM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Ravichandran Vaidyanathan</dc:creator>
  <cp:lastModifiedBy>Ravichandran Vaidyanathan</cp:lastModifiedBy>
  <dcterms:created xsi:type="dcterms:W3CDTF">2026-04-15T02:06:54Z</dcterms:created>
  <dcterms:modified xsi:type="dcterms:W3CDTF">2026-04-15T18:33:15Z</dcterms:modified>
</cp:coreProperties>
</file>